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000" windowHeight="11055" activeTab="3"/>
  </bookViews>
  <sheets>
    <sheet name="Profile" sheetId="14" r:id="rId1"/>
    <sheet name="Bus" sheetId="1" r:id="rId2"/>
    <sheet name="Lines" sheetId="3" r:id="rId3"/>
    <sheet name="Generation Units" sheetId="6" r:id="rId4"/>
    <sheet name="Storage Units" sheetId="13" r:id="rId5"/>
    <sheet name="Load_YearMax" sheetId="2" r:id="rId6"/>
    <sheet name="Load_YearSum" sheetId="11" r:id="rId7"/>
    <sheet name="Existing Units-Overview" sheetId="4" r:id="rId8"/>
    <sheet name="Candidate Units-Overview" sheetId="5" r:id="rId9"/>
    <sheet name="Units-Investment Costs" sheetId="8" r:id="rId10"/>
    <sheet name="Units-Variable Costs" sheetId="10" r:id="rId11"/>
    <sheet name="Generation-Parameters" sheetId="7" r:id="rId12"/>
    <sheet name="Storage-Parameters" sheetId="12" r:id="rId13"/>
    <sheet name="VRE Utilization hour" sheetId="16" r:id="rId14"/>
    <sheet name="Coal Units-Age" sheetId="17" r:id="rId15"/>
    <sheet name="Carbon trajectory" sheetId="15" r:id="rId16"/>
  </sheets>
  <definedNames>
    <definedName name="_xlnm._FilterDatabase" localSheetId="4" hidden="1">'Storage Units'!$A$1:$K$85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<sst xmlns="http://schemas.openxmlformats.org/spreadsheetml/2006/main" count="3215" uniqueCount="358">
  <si>
    <t>Bus number</t>
  </si>
  <si>
    <t>Region number</t>
  </si>
  <si>
    <t>Existing AC line number (500kV)</t>
  </si>
  <si>
    <t>Existing AC line number (1000kV)</t>
  </si>
  <si>
    <t>Candidate AC line number (500kV)</t>
  </si>
  <si>
    <t>Candidate AC line number (1000kV)</t>
  </si>
  <si>
    <t>Candidate DC line number (±800kV)</t>
  </si>
  <si>
    <t>Load type number</t>
  </si>
  <si>
    <t>Renewable penetration of Stage 1 (%)</t>
  </si>
  <si>
    <r>
      <rPr>
        <sz val="11"/>
        <color theme="1"/>
        <rFont val="Times New Roman"/>
        <charset val="134"/>
      </rPr>
      <t>Carbon target of all stages (10</t>
    </r>
    <r>
      <rPr>
        <vertAlign val="superscript"/>
        <sz val="11"/>
        <color theme="1"/>
        <rFont val="Times New Roman"/>
        <charset val="134"/>
      </rPr>
      <t>8</t>
    </r>
    <r>
      <rPr>
        <sz val="11"/>
        <color theme="1"/>
        <rFont val="Times New Roman"/>
        <charset val="134"/>
      </rPr>
      <t>t)</t>
    </r>
  </si>
  <si>
    <r>
      <rPr>
        <sz val="11"/>
        <color theme="1"/>
        <rFont val="Times New Roman"/>
        <charset val="134"/>
      </rPr>
      <t>Carbon target of Stage 8 (10</t>
    </r>
    <r>
      <rPr>
        <vertAlign val="superscript"/>
        <sz val="11"/>
        <color theme="1"/>
        <rFont val="Times New Roman"/>
        <charset val="134"/>
      </rPr>
      <t>8</t>
    </r>
    <r>
      <rPr>
        <sz val="11"/>
        <color theme="1"/>
        <rFont val="Times New Roman"/>
        <charset val="134"/>
      </rPr>
      <t>t)</t>
    </r>
  </si>
  <si>
    <r>
      <rPr>
        <sz val="11"/>
        <color theme="1"/>
        <rFont val="Times New Roman"/>
        <charset val="134"/>
      </rPr>
      <t>Load density of Stage 1 (MW/km</t>
    </r>
    <r>
      <rPr>
        <vertAlign val="superscript"/>
        <sz val="11"/>
        <color theme="1"/>
        <rFont val="Times New Roman"/>
        <charset val="134"/>
      </rPr>
      <t>2</t>
    </r>
    <r>
      <rPr>
        <sz val="11"/>
        <color theme="1"/>
        <rFont val="Times New Roman"/>
        <charset val="134"/>
      </rPr>
      <t>)</t>
    </r>
  </si>
  <si>
    <r>
      <rPr>
        <sz val="11"/>
        <color theme="1"/>
        <rFont val="Times New Roman"/>
        <charset val="134"/>
      </rPr>
      <t>Load density of Stage 8 (MW/km</t>
    </r>
    <r>
      <rPr>
        <vertAlign val="superscript"/>
        <sz val="11"/>
        <color theme="1"/>
        <rFont val="Times New Roman"/>
        <charset val="134"/>
      </rPr>
      <t>2</t>
    </r>
    <r>
      <rPr>
        <sz val="11"/>
        <color theme="1"/>
        <rFont val="Times New Roman"/>
        <charset val="134"/>
      </rPr>
      <t>)</t>
    </r>
  </si>
  <si>
    <t>Reserve rate (%)</t>
  </si>
  <si>
    <t>Value of lost load (CNY/MWh)</t>
  </si>
  <si>
    <t>Cost of load shift (CNY/MWh)</t>
  </si>
  <si>
    <t>Cost of load shedding (CNY/MWh)</t>
  </si>
  <si>
    <t>Bus No.</t>
  </si>
  <si>
    <t>Name of Bus</t>
  </si>
  <si>
    <t>Region</t>
  </si>
  <si>
    <t>Bus Load Participation Factor 
by Region</t>
  </si>
  <si>
    <t>Bus1</t>
  </si>
  <si>
    <t>R1</t>
  </si>
  <si>
    <t>Bus2</t>
  </si>
  <si>
    <t>Bus3</t>
  </si>
  <si>
    <t>Bus4</t>
  </si>
  <si>
    <t>Bus5</t>
  </si>
  <si>
    <t>R2</t>
  </si>
  <si>
    <t>Bus6</t>
  </si>
  <si>
    <t>Bus7</t>
  </si>
  <si>
    <t>Bus8</t>
  </si>
  <si>
    <t>Bus9</t>
  </si>
  <si>
    <t>Bus10</t>
  </si>
  <si>
    <t>Bus11</t>
  </si>
  <si>
    <t>Bus12</t>
  </si>
  <si>
    <t>Bus13</t>
  </si>
  <si>
    <t>Bus14</t>
  </si>
  <si>
    <t>Bus15</t>
  </si>
  <si>
    <t>Bus16</t>
  </si>
  <si>
    <t>Bus17</t>
  </si>
  <si>
    <t>Bus18</t>
  </si>
  <si>
    <t>R3</t>
  </si>
  <si>
    <t>Bus19</t>
  </si>
  <si>
    <t>Bus20</t>
  </si>
  <si>
    <t>Bus21</t>
  </si>
  <si>
    <t>Bus22</t>
  </si>
  <si>
    <t>Bus23</t>
  </si>
  <si>
    <t>Bus24</t>
  </si>
  <si>
    <t>Bus25</t>
  </si>
  <si>
    <t>Bus26</t>
  </si>
  <si>
    <t>Bus27</t>
  </si>
  <si>
    <t>Bus28</t>
  </si>
  <si>
    <t>Bus29</t>
  </si>
  <si>
    <t>R4</t>
  </si>
  <si>
    <t>Bus30</t>
  </si>
  <si>
    <t>Bus31</t>
  </si>
  <si>
    <t>Bus32</t>
  </si>
  <si>
    <t>Bus33</t>
  </si>
  <si>
    <t>Bus34</t>
  </si>
  <si>
    <t>Bus35</t>
  </si>
  <si>
    <t>Bus36</t>
  </si>
  <si>
    <t>Bus37</t>
  </si>
  <si>
    <t>R5</t>
  </si>
  <si>
    <t>Bus38</t>
  </si>
  <si>
    <t>Bus39</t>
  </si>
  <si>
    <t>Bus40</t>
  </si>
  <si>
    <t>Bus41</t>
  </si>
  <si>
    <t>ER1</t>
  </si>
  <si>
    <t>Bus42</t>
  </si>
  <si>
    <t>ER2</t>
  </si>
  <si>
    <t>Bus43</t>
  </si>
  <si>
    <t>ER3</t>
  </si>
  <si>
    <t>Line No.</t>
  </si>
  <si>
    <t>Name of line</t>
  </si>
  <si>
    <t>From bus No.</t>
  </si>
  <si>
    <t>To bus No.</t>
  </si>
  <si>
    <t>Name of from bus</t>
  </si>
  <si>
    <t>Name of to bus</t>
  </si>
  <si>
    <t>Line type</t>
  </si>
  <si>
    <t>Candidate or not</t>
  </si>
  <si>
    <t>Resistance R (p.u.)</t>
  </si>
  <si>
    <t>Reactance X (p.u.)</t>
  </si>
  <si>
    <t>Half of Susceptance B/2 (p.u.)</t>
  </si>
  <si>
    <t>Voltage (kV)</t>
  </si>
  <si>
    <t>Line capacity (MW)</t>
  </si>
  <si>
    <t>Length (km)</t>
  </si>
  <si>
    <t>Loop num</t>
  </si>
  <si>
    <t>Line Inv. Cost (10^4 CNY/km)</t>
  </si>
  <si>
    <t>Converter Inv. Cost (10^4CNY/MW)</t>
  </si>
  <si>
    <t>Line1</t>
  </si>
  <si>
    <t>-</t>
  </si>
  <si>
    <t>Line2</t>
  </si>
  <si>
    <t>Line3</t>
  </si>
  <si>
    <t>Line4</t>
  </si>
  <si>
    <t>Line5</t>
  </si>
  <si>
    <t>Line6</t>
  </si>
  <si>
    <t>Line7</t>
  </si>
  <si>
    <t>Line8</t>
  </si>
  <si>
    <t>Line9</t>
  </si>
  <si>
    <t>Line10</t>
  </si>
  <si>
    <t>Line11</t>
  </si>
  <si>
    <t>Line12</t>
  </si>
  <si>
    <t>Line13</t>
  </si>
  <si>
    <t>Line14</t>
  </si>
  <si>
    <t>Line15</t>
  </si>
  <si>
    <t>Line16</t>
  </si>
  <si>
    <t>Line17</t>
  </si>
  <si>
    <t>Line18</t>
  </si>
  <si>
    <t>Line19</t>
  </si>
  <si>
    <t>Line20</t>
  </si>
  <si>
    <t>Line21</t>
  </si>
  <si>
    <t>Line22</t>
  </si>
  <si>
    <t>Line23</t>
  </si>
  <si>
    <t>Line24</t>
  </si>
  <si>
    <t>Line25</t>
  </si>
  <si>
    <t>Line26</t>
  </si>
  <si>
    <t>Line27</t>
  </si>
  <si>
    <t>Line28</t>
  </si>
  <si>
    <t>Line29</t>
  </si>
  <si>
    <t>Line30</t>
  </si>
  <si>
    <t>Line31</t>
  </si>
  <si>
    <t>Line32</t>
  </si>
  <si>
    <t>Line33</t>
  </si>
  <si>
    <t>Line34</t>
  </si>
  <si>
    <t>Line35</t>
  </si>
  <si>
    <t>Line36</t>
  </si>
  <si>
    <t>Line37</t>
  </si>
  <si>
    <t>Line38</t>
  </si>
  <si>
    <t>Line39</t>
  </si>
  <si>
    <t>Line40</t>
  </si>
  <si>
    <t>Line41</t>
  </si>
  <si>
    <t>Line42</t>
  </si>
  <si>
    <t>Line43</t>
  </si>
  <si>
    <t>Line44</t>
  </si>
  <si>
    <t>Line45</t>
  </si>
  <si>
    <t>Line46</t>
  </si>
  <si>
    <t>Line47</t>
  </si>
  <si>
    <t>Line48</t>
  </si>
  <si>
    <t>Line49</t>
  </si>
  <si>
    <t>Line50</t>
  </si>
  <si>
    <t>Line51</t>
  </si>
  <si>
    <t>Line52</t>
  </si>
  <si>
    <t>Line53</t>
  </si>
  <si>
    <t>Line54</t>
  </si>
  <si>
    <t>Line55</t>
  </si>
  <si>
    <t>Line56</t>
  </si>
  <si>
    <t>Line57</t>
  </si>
  <si>
    <t>Line58</t>
  </si>
  <si>
    <t>Line59</t>
  </si>
  <si>
    <t>Line60</t>
  </si>
  <si>
    <t>Line61</t>
  </si>
  <si>
    <t>Line62</t>
  </si>
  <si>
    <t>Line63</t>
  </si>
  <si>
    <t>Line64</t>
  </si>
  <si>
    <t>Line65</t>
  </si>
  <si>
    <t>Line66</t>
  </si>
  <si>
    <t>Line67</t>
  </si>
  <si>
    <t>Line68</t>
  </si>
  <si>
    <t>Line69</t>
  </si>
  <si>
    <t>Line70</t>
  </si>
  <si>
    <t>Line71</t>
  </si>
  <si>
    <t>Line72</t>
  </si>
  <si>
    <t>Line73</t>
  </si>
  <si>
    <t>Line74</t>
  </si>
  <si>
    <t>Line75</t>
  </si>
  <si>
    <t>Line76</t>
  </si>
  <si>
    <t>Line77</t>
  </si>
  <si>
    <t>CACLine1</t>
  </si>
  <si>
    <t>CACLine2</t>
  </si>
  <si>
    <t>CACLine3</t>
  </si>
  <si>
    <t>CACLine4</t>
  </si>
  <si>
    <t>CACLine5</t>
  </si>
  <si>
    <t>CACLine6</t>
  </si>
  <si>
    <t>CACLine7</t>
  </si>
  <si>
    <t>CACLine8</t>
  </si>
  <si>
    <t>CACLine9</t>
  </si>
  <si>
    <t>CACLine10</t>
  </si>
  <si>
    <t>CACLine11</t>
  </si>
  <si>
    <t>CACLine12</t>
  </si>
  <si>
    <t>CACLine13</t>
  </si>
  <si>
    <t>CACLine14</t>
  </si>
  <si>
    <t>CACLine15</t>
  </si>
  <si>
    <t>CACLine16</t>
  </si>
  <si>
    <t>CACLine17</t>
  </si>
  <si>
    <t>CACLine18</t>
  </si>
  <si>
    <t>CACLine19</t>
  </si>
  <si>
    <t>CACLine20</t>
  </si>
  <si>
    <t>CACLine21</t>
  </si>
  <si>
    <t>CACLine22</t>
  </si>
  <si>
    <t>CACLine23</t>
  </si>
  <si>
    <t>CACLine24</t>
  </si>
  <si>
    <t>CACLine25</t>
  </si>
  <si>
    <t>CACLine26</t>
  </si>
  <si>
    <t>CACLine27</t>
  </si>
  <si>
    <t>CACLine28</t>
  </si>
  <si>
    <t>CACLine29</t>
  </si>
  <si>
    <t>CACLine30</t>
  </si>
  <si>
    <t>CACLine31</t>
  </si>
  <si>
    <t>CACLine32</t>
  </si>
  <si>
    <t>CACLine33</t>
  </si>
  <si>
    <t>CACLine34</t>
  </si>
  <si>
    <t>CACLine35</t>
  </si>
  <si>
    <t>CACLine36</t>
  </si>
  <si>
    <t>CACLine37</t>
  </si>
  <si>
    <t>CACLine38</t>
  </si>
  <si>
    <t>CACLine39</t>
  </si>
  <si>
    <t>CACLine40</t>
  </si>
  <si>
    <t>CACLine41</t>
  </si>
  <si>
    <t>CACLine42</t>
  </si>
  <si>
    <t>CACLine43</t>
  </si>
  <si>
    <t>CACLine44</t>
  </si>
  <si>
    <t>CACLine45</t>
  </si>
  <si>
    <t>CACLine46</t>
  </si>
  <si>
    <t>CACLine47</t>
  </si>
  <si>
    <t>CACLine48</t>
  </si>
  <si>
    <t>CACLine49</t>
  </si>
  <si>
    <t>CACLine50</t>
  </si>
  <si>
    <t>CACLine51</t>
  </si>
  <si>
    <t>CACLine52</t>
  </si>
  <si>
    <t>CACLine53</t>
  </si>
  <si>
    <t>CACLine54</t>
  </si>
  <si>
    <t>CACLine55</t>
  </si>
  <si>
    <t>CACLine56</t>
  </si>
  <si>
    <t>CACLine57</t>
  </si>
  <si>
    <t>CACLine58</t>
  </si>
  <si>
    <t>CACLine59</t>
  </si>
  <si>
    <t>CACLine60</t>
  </si>
  <si>
    <t>CACLine61</t>
  </si>
  <si>
    <t>CACLine62</t>
  </si>
  <si>
    <t>CACLine63</t>
  </si>
  <si>
    <t>CACLine64</t>
  </si>
  <si>
    <t>CACLine65</t>
  </si>
  <si>
    <t>CACLine66</t>
  </si>
  <si>
    <t>CACLine67</t>
  </si>
  <si>
    <t>CACLine68</t>
  </si>
  <si>
    <t>CACLine69</t>
  </si>
  <si>
    <t>CACLine70</t>
  </si>
  <si>
    <t>CACLine71</t>
  </si>
  <si>
    <t>CACLine72</t>
  </si>
  <si>
    <t>CACLine73</t>
  </si>
  <si>
    <t>CACLine74</t>
  </si>
  <si>
    <t>CACLine75</t>
  </si>
  <si>
    <t>CACLine76</t>
  </si>
  <si>
    <t>CACLine77</t>
  </si>
  <si>
    <t>CACLine78</t>
  </si>
  <si>
    <t>CACLine79</t>
  </si>
  <si>
    <t>CACLine80</t>
  </si>
  <si>
    <t>CACLine81</t>
  </si>
  <si>
    <t>CACLine82</t>
  </si>
  <si>
    <t>CACLine83</t>
  </si>
  <si>
    <t>CACLine84</t>
  </si>
  <si>
    <t>CACLine85</t>
  </si>
  <si>
    <t>CACLine86</t>
  </si>
  <si>
    <t>CACLine87</t>
  </si>
  <si>
    <t>CACLine88</t>
  </si>
  <si>
    <t>CACLine89</t>
  </si>
  <si>
    <t>CACLine90</t>
  </si>
  <si>
    <t>CDCLine1</t>
  </si>
  <si>
    <t>CDCLine2</t>
  </si>
  <si>
    <t>CDCLine3</t>
  </si>
  <si>
    <t>CDCLine4</t>
  </si>
  <si>
    <t>CDCLine5</t>
  </si>
  <si>
    <t>CDCLine6</t>
  </si>
  <si>
    <t>CDCLine7</t>
  </si>
  <si>
    <t>CDCLine8</t>
  </si>
  <si>
    <t>CDCLine9</t>
  </si>
  <si>
    <t>CDCLine10</t>
  </si>
  <si>
    <t>CDCLine11</t>
  </si>
  <si>
    <t>CDCLine12</t>
  </si>
  <si>
    <t>Unit No.</t>
  </si>
  <si>
    <t>Unit Type</t>
  </si>
  <si>
    <t>Capacity (MW)</t>
  </si>
  <si>
    <t>Candidate capacity (MW)</t>
  </si>
  <si>
    <t>Minimum output rate (%)</t>
  </si>
  <si>
    <t>Maximum ramp rate (%/min)</t>
  </si>
  <si>
    <t>Minimum on time (h)</t>
  </si>
  <si>
    <t>Minimum off time (h)</t>
  </si>
  <si>
    <t>Fixed cost
(10^4CNY/(MW·year))</t>
  </si>
  <si>
    <t>Variable cost
(10^4 CNY/MWh)</t>
  </si>
  <si>
    <t>Start cost
(10^4 CNY/MWh)</t>
  </si>
  <si>
    <t>Investment cost
(10^4 CNY/MW)</t>
  </si>
  <si>
    <t>Lifetime</t>
  </si>
  <si>
    <t>Carbon emission factor
(kg/kWh)</t>
  </si>
  <si>
    <t>CSP-TES hour (h)</t>
  </si>
  <si>
    <t>CSP-TES eta (%)</t>
  </si>
  <si>
    <t>CSP-PB eta (%)</t>
  </si>
  <si>
    <t>CSP-qini</t>
  </si>
  <si>
    <t>load_type</t>
  </si>
  <si>
    <t>Stage 1 (GW)</t>
  </si>
  <si>
    <t>Stage 2 (GW)</t>
  </si>
  <si>
    <t>Stage 3 (GW)</t>
  </si>
  <si>
    <t>Stage 4 (GW)</t>
  </si>
  <si>
    <t>Stage 5 (GW)</t>
  </si>
  <si>
    <t>Stage 6 (GW)</t>
  </si>
  <si>
    <t>Stage 7 (GW)</t>
  </si>
  <si>
    <t>Stage 8 (GW)</t>
  </si>
  <si>
    <t>Stage 1 (TWh)</t>
  </si>
  <si>
    <t>Stage 2 (TWh)</t>
  </si>
  <si>
    <t>Stage 3 (TWh)</t>
  </si>
  <si>
    <t>Stage 4 (TWh)</t>
  </si>
  <si>
    <t>Stage 5 (TWh)</t>
  </si>
  <si>
    <t>Stage 6 (TWh)</t>
  </si>
  <si>
    <t>Stage 7 (TWh)</t>
  </si>
  <si>
    <t>Stage 8 (TWh)</t>
  </si>
  <si>
    <t>Coal Generator (Large Capacity)/MW</t>
  </si>
  <si>
    <t>Coal Generator (Small Capacity)/MW</t>
  </si>
  <si>
    <t>Gas/MW</t>
  </si>
  <si>
    <t>Hydro/MW</t>
  </si>
  <si>
    <t>Nuclear/MW</t>
  </si>
  <si>
    <t>PV (utility)/MW</t>
  </si>
  <si>
    <t>PV (distributed)/MW</t>
  </si>
  <si>
    <t>CSP/MW</t>
  </si>
  <si>
    <t>Wind (onshore)/MW</t>
  </si>
  <si>
    <t>Wind (offshore)/MW</t>
  </si>
  <si>
    <t>EG/MW</t>
  </si>
  <si>
    <t>Pumped Storage/MW</t>
  </si>
  <si>
    <t>Battery Storage/MW</t>
  </si>
  <si>
    <t>Unit type 
(10^4 CNY/MWh)</t>
  </si>
  <si>
    <t>Unit type name</t>
  </si>
  <si>
    <t>Stage 1</t>
  </si>
  <si>
    <t>Stage 2</t>
  </si>
  <si>
    <t>Stage 3</t>
  </si>
  <si>
    <t>Stage 4</t>
  </si>
  <si>
    <t>Stage 5</t>
  </si>
  <si>
    <t>Stage 6</t>
  </si>
  <si>
    <t>Stage 7</t>
  </si>
  <si>
    <t>Stage 8</t>
  </si>
  <si>
    <t xml:space="preserve">Coal Generator (Large Capacity)  </t>
  </si>
  <si>
    <t>Coal Generator (Small Capacity)</t>
  </si>
  <si>
    <t>Gas</t>
  </si>
  <si>
    <t>Hydro</t>
  </si>
  <si>
    <t>Nuclear</t>
  </si>
  <si>
    <t>PV (utility)</t>
  </si>
  <si>
    <t>PV (distributed)</t>
  </si>
  <si>
    <t>CSP</t>
  </si>
  <si>
    <t>Wind (onshore)</t>
  </si>
  <si>
    <t>Wind (offshore)</t>
  </si>
  <si>
    <t>Pumped Storage</t>
  </si>
  <si>
    <t>Battery Storage</t>
  </si>
  <si>
    <t>EG</t>
  </si>
  <si>
    <t>Unit type
(10^4 CNY/MWh)</t>
  </si>
  <si>
    <t>Coal Generator (Large Capacity)</t>
  </si>
  <si>
    <t>Unit type</t>
  </si>
  <si>
    <t>Fixed cost (10^4CNY/(MW·year))</t>
  </si>
  <si>
    <r>
      <rPr>
        <sz val="11"/>
        <rFont val="Times New Roman"/>
        <charset val="134"/>
      </rPr>
      <t>Variable cost</t>
    </r>
    <r>
      <rPr>
        <vertAlign val="superscript"/>
        <sz val="11"/>
        <rFont val="Times New Roman"/>
        <charset val="134"/>
      </rPr>
      <t xml:space="preserve">1 </t>
    </r>
    <r>
      <rPr>
        <sz val="11"/>
        <rFont val="Times New Roman"/>
        <charset val="134"/>
      </rPr>
      <t>(10^4 CNY/MWh)</t>
    </r>
  </si>
  <si>
    <t>Start cost (10^4 CNY/time)</t>
  </si>
  <si>
    <r>
      <rPr>
        <sz val="11"/>
        <rFont val="Times New Roman"/>
        <charset val="134"/>
      </rPr>
      <t>Investment cost</t>
    </r>
    <r>
      <rPr>
        <vertAlign val="superscript"/>
        <sz val="11"/>
        <rFont val="Times New Roman"/>
        <charset val="134"/>
      </rPr>
      <t>2</t>
    </r>
    <r>
      <rPr>
        <sz val="11"/>
        <rFont val="Times New Roman"/>
        <charset val="134"/>
      </rPr>
      <t xml:space="preserve">
(10^4 CNY/MW)</t>
    </r>
  </si>
  <si>
    <t>Carbon emission factor (kg/kWh)</t>
  </si>
  <si>
    <t>Storage hour (h)</t>
  </si>
  <si>
    <t>Eta (%)</t>
  </si>
  <si>
    <r>
      <rPr>
        <sz val="11"/>
        <rFont val="Times New Roman"/>
        <charset val="134"/>
      </rPr>
      <t>Variable cost</t>
    </r>
    <r>
      <rPr>
        <vertAlign val="superscript"/>
        <sz val="11"/>
        <rFont val="Times New Roman"/>
        <charset val="134"/>
      </rPr>
      <t>1</t>
    </r>
    <r>
      <rPr>
        <sz val="11"/>
        <rFont val="Times New Roman"/>
        <charset val="134"/>
      </rPr>
      <t xml:space="preserve">
(10^4 CNY/MWh)</t>
    </r>
  </si>
  <si>
    <t>VRE type</t>
  </si>
  <si>
    <t>R1*</t>
  </si>
  <si>
    <t xml:space="preserve">Stage 2 </t>
  </si>
  <si>
    <t xml:space="preserve">Stage 3 </t>
  </si>
  <si>
    <t xml:space="preserve">Stage 6 </t>
  </si>
  <si>
    <t xml:space="preserve">Stage 7 </t>
  </si>
  <si>
    <r>
      <rPr>
        <sz val="11"/>
        <rFont val="Times New Roman"/>
        <charset val="134"/>
      </rPr>
      <t>Carbon emission (10</t>
    </r>
    <r>
      <rPr>
        <vertAlign val="superscript"/>
        <sz val="11"/>
        <rFont val="Times New Roman"/>
        <charset val="134"/>
      </rPr>
      <t>8</t>
    </r>
    <r>
      <rPr>
        <sz val="11"/>
        <rFont val="Times New Roman"/>
        <charset val="134"/>
      </rPr>
      <t>t)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</si>
</sst>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1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_ "/>
    <numFmt numFmtId="177" formatCode="0.00_ "/>
    <numFmt numFmtId="178" formatCode="0.000000_);[Red]\(0.000000\)"/>
    <numFmt numFmtId="179" formatCode="0_ "/>
    <numFmt numFmtId="180" formatCode="0.00_);[Red]\(0.00\)"/>
    <numFmt numFmtId="181" formatCode="0.00000000_ "/>
    <numFmt numFmtId="182" formatCode="#,##0.00_ "/>
  </numFmts>
  <fonts count="28">
    <font>
      <sz val="11"/>
      <color theme="1"/>
      <name val="等线"/>
      <charset val="134"/>
      <scheme val="minor"/>
    </font>
    <font>
      <sz val="11"/>
      <name val="Times New Roman"/>
      <charset val="134"/>
    </font>
    <font>
      <sz val="11"/>
      <color theme="1"/>
      <name val="Times New Roman"/>
      <charset val="134"/>
    </font>
    <font>
      <sz val="12"/>
      <name val="Times New Roman"/>
      <charset val="134"/>
    </font>
    <font>
      <sz val="12"/>
      <color theme="1"/>
      <name val="Times New Roman"/>
      <charset val="134"/>
    </font>
    <font>
      <sz val="14"/>
      <color theme="1"/>
      <name val="Times New Roman"/>
      <charset val="134"/>
    </font>
    <font>
      <sz val="14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vertAlign val="superscript"/>
      <sz val="11"/>
      <color theme="1"/>
      <name val="Times New Roman"/>
      <charset val="134"/>
    </font>
    <font>
      <vertAlign val="superscript"/>
      <sz val="11"/>
      <name val="Times New Roman"/>
      <charset val="134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rgb="FFDFE2E5"/>
      </left>
      <right style="medium">
        <color rgb="FFDFE2E5"/>
      </right>
      <top style="medium">
        <color auto="1"/>
      </top>
      <bottom style="medium">
        <color auto="1"/>
      </bottom>
      <diagonal/>
    </border>
    <border>
      <left style="medium">
        <color rgb="FFDFE2E5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rgb="FFDFE2E5"/>
      </right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rgb="FFDFE2E5"/>
      </right>
      <top style="medium">
        <color auto="1"/>
      </top>
      <bottom style="medium">
        <color rgb="FFDFE2E5"/>
      </bottom>
      <diagonal/>
    </border>
    <border>
      <left style="medium">
        <color rgb="FFDFE2E5"/>
      </left>
      <right style="medium">
        <color rgb="FFDFE2E5"/>
      </right>
      <top style="medium">
        <color auto="1"/>
      </top>
      <bottom style="medium">
        <color rgb="FFDFE2E5"/>
      </bottom>
      <diagonal/>
    </border>
    <border>
      <left style="medium">
        <color auto="1"/>
      </left>
      <right style="medium">
        <color rgb="FFDFE2E5"/>
      </right>
      <top style="medium">
        <color rgb="FFDFE2E5"/>
      </top>
      <bottom style="medium">
        <color auto="1"/>
      </bottom>
      <diagonal/>
    </border>
    <border>
      <left style="medium">
        <color rgb="FFDFE2E5"/>
      </left>
      <right style="medium">
        <color rgb="FFDFE2E5"/>
      </right>
      <top style="medium">
        <color rgb="FFDFE2E5"/>
      </top>
      <bottom style="medium">
        <color auto="1"/>
      </bottom>
      <diagonal/>
    </border>
    <border>
      <left style="medium">
        <color auto="1"/>
      </left>
      <right style="medium">
        <color rgb="FFDFE2E5"/>
      </right>
      <top style="medium">
        <color rgb="FFDFE2E5"/>
      </top>
      <bottom style="medium">
        <color rgb="FFDFE2E5"/>
      </bottom>
      <diagonal/>
    </border>
    <border>
      <left style="medium">
        <color rgb="FFDFE2E5"/>
      </left>
      <right style="medium">
        <color rgb="FFDFE2E5"/>
      </right>
      <top style="medium">
        <color rgb="FFDFE2E5"/>
      </top>
      <bottom style="medium">
        <color rgb="FFDFE2E5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7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3" borderId="26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27" applyNumberFormat="0" applyFill="0" applyAlignment="0" applyProtection="0">
      <alignment vertical="center"/>
    </xf>
    <xf numFmtId="0" fontId="13" fillId="0" borderId="27" applyNumberFormat="0" applyFill="0" applyAlignment="0" applyProtection="0">
      <alignment vertical="center"/>
    </xf>
    <xf numFmtId="0" fontId="14" fillId="0" borderId="28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4" borderId="29" applyNumberFormat="0" applyAlignment="0" applyProtection="0">
      <alignment vertical="center"/>
    </xf>
    <xf numFmtId="0" fontId="16" fillId="5" borderId="30" applyNumberFormat="0" applyAlignment="0" applyProtection="0">
      <alignment vertical="center"/>
    </xf>
    <xf numFmtId="0" fontId="17" fillId="5" borderId="29" applyNumberFormat="0" applyAlignment="0" applyProtection="0">
      <alignment vertical="center"/>
    </xf>
    <xf numFmtId="0" fontId="18" fillId="6" borderId="31" applyNumberFormat="0" applyAlignment="0" applyProtection="0">
      <alignment vertical="center"/>
    </xf>
    <xf numFmtId="0" fontId="19" fillId="0" borderId="32" applyNumberFormat="0" applyFill="0" applyAlignment="0" applyProtection="0">
      <alignment vertical="center"/>
    </xf>
    <xf numFmtId="0" fontId="20" fillId="0" borderId="33" applyNumberFormat="0" applyFill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</cellStyleXfs>
  <cellXfs count="141">
    <xf numFmtId="0" fontId="0" fillId="0" borderId="0" xfId="0"/>
    <xf numFmtId="0" fontId="0" fillId="0" borderId="1" xfId="0" applyBorder="1"/>
    <xf numFmtId="0" fontId="1" fillId="2" borderId="2" xfId="0" applyFont="1" applyFill="1" applyBorder="1" applyAlignment="1">
      <alignment vertical="center" wrapText="1"/>
    </xf>
    <xf numFmtId="0" fontId="1" fillId="2" borderId="3" xfId="0" applyFont="1" applyFill="1" applyBorder="1" applyAlignment="1">
      <alignment vertical="center" wrapText="1"/>
    </xf>
    <xf numFmtId="0" fontId="1" fillId="2" borderId="4" xfId="0" applyFont="1" applyFill="1" applyBorder="1" applyAlignment="1">
      <alignment vertical="center" wrapText="1"/>
    </xf>
    <xf numFmtId="0" fontId="2" fillId="0" borderId="5" xfId="0" applyFont="1" applyBorder="1"/>
    <xf numFmtId="0" fontId="2" fillId="0" borderId="6" xfId="0" applyFont="1" applyBorder="1"/>
    <xf numFmtId="0" fontId="2" fillId="0" borderId="1" xfId="0" applyFont="1" applyBorder="1"/>
    <xf numFmtId="0" fontId="3" fillId="2" borderId="1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2" fillId="0" borderId="9" xfId="0" applyFont="1" applyBorder="1"/>
    <xf numFmtId="0" fontId="2" fillId="0" borderId="10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13" xfId="0" applyFont="1" applyBorder="1"/>
    <xf numFmtId="10" fontId="2" fillId="0" borderId="14" xfId="0" applyNumberFormat="1" applyFont="1" applyBorder="1"/>
    <xf numFmtId="10" fontId="2" fillId="0" borderId="0" xfId="0" applyNumberFormat="1" applyFont="1"/>
    <xf numFmtId="10" fontId="2" fillId="0" borderId="15" xfId="0" applyNumberFormat="1" applyFont="1" applyBorder="1"/>
    <xf numFmtId="0" fontId="2" fillId="0" borderId="16" xfId="0" applyFont="1" applyBorder="1"/>
    <xf numFmtId="10" fontId="2" fillId="0" borderId="9" xfId="0" applyNumberFormat="1" applyFont="1" applyBorder="1"/>
    <xf numFmtId="10" fontId="2" fillId="0" borderId="5" xfId="0" applyNumberFormat="1" applyFont="1" applyBorder="1"/>
    <xf numFmtId="10" fontId="2" fillId="0" borderId="6" xfId="0" applyNumberFormat="1" applyFont="1" applyBorder="1"/>
    <xf numFmtId="0" fontId="2" fillId="0" borderId="1" xfId="0" applyFont="1" applyBorder="1" applyAlignment="1">
      <alignment horizontal="center" vertical="center"/>
    </xf>
    <xf numFmtId="0" fontId="2" fillId="0" borderId="7" xfId="0" applyFont="1" applyBorder="1"/>
    <xf numFmtId="0" fontId="2" fillId="0" borderId="8" xfId="0" applyFont="1" applyBorder="1"/>
    <xf numFmtId="0" fontId="2" fillId="0" borderId="14" xfId="0" applyFont="1" applyBorder="1" applyAlignment="1">
      <alignment horizontal="center" vertical="center"/>
    </xf>
    <xf numFmtId="0" fontId="2" fillId="0" borderId="0" xfId="0" applyFont="1"/>
    <xf numFmtId="0" fontId="2" fillId="0" borderId="15" xfId="0" applyFont="1" applyBorder="1"/>
    <xf numFmtId="0" fontId="2" fillId="0" borderId="9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/>
    </xf>
    <xf numFmtId="0" fontId="1" fillId="0" borderId="11" xfId="0" applyFont="1" applyBorder="1" applyAlignment="1">
      <alignment horizontal="center" wrapText="1"/>
    </xf>
    <xf numFmtId="0" fontId="1" fillId="0" borderId="12" xfId="0" applyFont="1" applyBorder="1" applyAlignment="1">
      <alignment horizontal="center" wrapText="1"/>
    </xf>
    <xf numFmtId="0" fontId="1" fillId="2" borderId="17" xfId="0" applyFont="1" applyFill="1" applyBorder="1" applyAlignment="1">
      <alignment vertical="center" wrapText="1"/>
    </xf>
    <xf numFmtId="0" fontId="1" fillId="2" borderId="18" xfId="0" applyFont="1" applyFill="1" applyBorder="1" applyAlignment="1">
      <alignment vertical="center" wrapText="1"/>
    </xf>
    <xf numFmtId="0" fontId="1" fillId="0" borderId="7" xfId="0" applyFont="1" applyBorder="1"/>
    <xf numFmtId="0" fontId="1" fillId="0" borderId="8" xfId="0" applyFont="1" applyBorder="1"/>
    <xf numFmtId="0" fontId="1" fillId="2" borderId="19" xfId="0" applyFont="1" applyFill="1" applyBorder="1" applyAlignment="1">
      <alignment vertical="center" wrapText="1"/>
    </xf>
    <xf numFmtId="0" fontId="1" fillId="2" borderId="20" xfId="0" applyFont="1" applyFill="1" applyBorder="1" applyAlignment="1">
      <alignment vertical="center" wrapText="1"/>
    </xf>
    <xf numFmtId="0" fontId="1" fillId="0" borderId="5" xfId="0" applyFont="1" applyBorder="1"/>
    <xf numFmtId="0" fontId="1" fillId="0" borderId="6" xfId="0" applyFont="1" applyBorder="1"/>
    <xf numFmtId="0" fontId="1" fillId="0" borderId="0" xfId="0" applyFont="1"/>
    <xf numFmtId="0" fontId="1" fillId="0" borderId="10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49" fontId="1" fillId="0" borderId="7" xfId="0" applyNumberFormat="1" applyFont="1" applyBorder="1" applyAlignment="1">
      <alignment horizontal="center"/>
    </xf>
    <xf numFmtId="49" fontId="1" fillId="0" borderId="8" xfId="0" applyNumberFormat="1" applyFont="1" applyBorder="1" applyAlignment="1">
      <alignment horizontal="center"/>
    </xf>
    <xf numFmtId="0" fontId="1" fillId="2" borderId="21" xfId="0" applyFont="1" applyFill="1" applyBorder="1" applyAlignment="1">
      <alignment vertical="center" wrapText="1"/>
    </xf>
    <xf numFmtId="0" fontId="1" fillId="2" borderId="22" xfId="0" applyFont="1" applyFill="1" applyBorder="1" applyAlignment="1">
      <alignment vertical="center" wrapText="1"/>
    </xf>
    <xf numFmtId="0" fontId="1" fillId="0" borderId="0" xfId="0" applyFont="1" applyAlignment="1">
      <alignment horizontal="center"/>
    </xf>
    <xf numFmtId="49" fontId="1" fillId="0" borderId="0" xfId="0" applyNumberFormat="1" applyFont="1" applyAlignment="1">
      <alignment horizontal="center"/>
    </xf>
    <xf numFmtId="49" fontId="1" fillId="0" borderId="15" xfId="0" applyNumberFormat="1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49" fontId="1" fillId="0" borderId="5" xfId="0" applyNumberFormat="1" applyFont="1" applyBorder="1" applyAlignment="1">
      <alignment horizontal="center"/>
    </xf>
    <xf numFmtId="49" fontId="1" fillId="0" borderId="6" xfId="0" applyNumberFormat="1" applyFont="1" applyBorder="1" applyAlignment="1">
      <alignment horizontal="center"/>
    </xf>
    <xf numFmtId="0" fontId="1" fillId="0" borderId="10" xfId="0" applyFont="1" applyBorder="1" applyAlignment="1">
      <alignment horizontal="center" wrapText="1"/>
    </xf>
    <xf numFmtId="176" fontId="2" fillId="0" borderId="7" xfId="0" applyNumberFormat="1" applyFont="1" applyBorder="1"/>
    <xf numFmtId="176" fontId="2" fillId="0" borderId="8" xfId="0" applyNumberFormat="1" applyFont="1" applyBorder="1"/>
    <xf numFmtId="176" fontId="2" fillId="0" borderId="0" xfId="0" applyNumberFormat="1" applyFont="1"/>
    <xf numFmtId="176" fontId="2" fillId="0" borderId="15" xfId="0" applyNumberFormat="1" applyFont="1" applyBorder="1"/>
    <xf numFmtId="176" fontId="2" fillId="0" borderId="5" xfId="0" applyNumberFormat="1" applyFont="1" applyBorder="1"/>
    <xf numFmtId="177" fontId="2" fillId="0" borderId="7" xfId="0" applyNumberFormat="1" applyFont="1" applyBorder="1"/>
    <xf numFmtId="177" fontId="2" fillId="0" borderId="8" xfId="0" applyNumberFormat="1" applyFont="1" applyBorder="1"/>
    <xf numFmtId="177" fontId="2" fillId="0" borderId="0" xfId="0" applyNumberFormat="1" applyFont="1"/>
    <xf numFmtId="177" fontId="2" fillId="0" borderId="15" xfId="0" applyNumberFormat="1" applyFont="1" applyBorder="1"/>
    <xf numFmtId="177" fontId="2" fillId="0" borderId="5" xfId="0" applyNumberFormat="1" applyFont="1" applyBorder="1"/>
    <xf numFmtId="177" fontId="2" fillId="0" borderId="6" xfId="0" applyNumberFormat="1" applyFont="1" applyBorder="1"/>
    <xf numFmtId="0" fontId="0" fillId="0" borderId="0" xfId="0" applyAlignment="1">
      <alignment vertical="center"/>
    </xf>
    <xf numFmtId="0" fontId="2" fillId="0" borderId="10" xfId="0" applyFont="1" applyBorder="1"/>
    <xf numFmtId="0" fontId="2" fillId="0" borderId="11" xfId="0" applyFont="1" applyBorder="1"/>
    <xf numFmtId="0" fontId="2" fillId="0" borderId="11" xfId="0" applyFont="1" applyBorder="1" applyAlignment="1">
      <alignment wrapText="1"/>
    </xf>
    <xf numFmtId="0" fontId="2" fillId="0" borderId="12" xfId="0" applyFont="1" applyBorder="1"/>
    <xf numFmtId="0" fontId="2" fillId="0" borderId="14" xfId="0" applyFont="1" applyBorder="1"/>
    <xf numFmtId="0" fontId="4" fillId="0" borderId="0" xfId="0" applyFont="1" applyAlignment="1">
      <alignment horizontal="center"/>
    </xf>
    <xf numFmtId="0" fontId="4" fillId="0" borderId="10" xfId="0" applyFont="1" applyBorder="1" applyAlignment="1">
      <alignment horizontal="center"/>
    </xf>
    <xf numFmtId="0" fontId="4" fillId="0" borderId="11" xfId="0" applyFont="1" applyBorder="1" applyAlignment="1">
      <alignment horizontal="center"/>
    </xf>
    <xf numFmtId="0" fontId="4" fillId="0" borderId="11" xfId="0" applyFont="1" applyBorder="1" applyAlignment="1">
      <alignment horizontal="center" wrapText="1"/>
    </xf>
    <xf numFmtId="0" fontId="4" fillId="0" borderId="12" xfId="0" applyFont="1" applyBorder="1" applyAlignment="1">
      <alignment horizontal="center"/>
    </xf>
    <xf numFmtId="0" fontId="0" fillId="0" borderId="7" xfId="0" applyBorder="1"/>
    <xf numFmtId="0" fontId="0" fillId="0" borderId="5" xfId="0" applyBorder="1"/>
    <xf numFmtId="0" fontId="5" fillId="0" borderId="10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11" xfId="0" applyFont="1" applyBorder="1" applyAlignment="1">
      <alignment horizontal="center" wrapText="1"/>
    </xf>
    <xf numFmtId="0" fontId="5" fillId="0" borderId="12" xfId="0" applyFont="1" applyBorder="1" applyAlignment="1">
      <alignment horizontal="center" wrapText="1"/>
    </xf>
    <xf numFmtId="0" fontId="2" fillId="0" borderId="1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14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15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23" xfId="0" applyFont="1" applyBorder="1" applyAlignment="1">
      <alignment horizontal="center"/>
    </xf>
    <xf numFmtId="0" fontId="2" fillId="0" borderId="24" xfId="0" applyFont="1" applyBorder="1" applyAlignment="1">
      <alignment horizontal="center"/>
    </xf>
    <xf numFmtId="0" fontId="2" fillId="0" borderId="25" xfId="0" applyFont="1" applyBorder="1" applyAlignment="1">
      <alignment horizontal="center"/>
    </xf>
    <xf numFmtId="0" fontId="5" fillId="0" borderId="0" xfId="0" applyFont="1"/>
    <xf numFmtId="0" fontId="5" fillId="0" borderId="1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5" fillId="0" borderId="7" xfId="0" applyFont="1" applyBorder="1" applyAlignment="1">
      <alignment horizontal="center" wrapText="1"/>
    </xf>
    <xf numFmtId="0" fontId="5" fillId="0" borderId="8" xfId="0" applyFont="1" applyBorder="1" applyAlignment="1">
      <alignment horizontal="center" wrapText="1"/>
    </xf>
    <xf numFmtId="0" fontId="6" fillId="0" borderId="0" xfId="0" applyFont="1"/>
    <xf numFmtId="178" fontId="0" fillId="0" borderId="0" xfId="0" applyNumberFormat="1"/>
    <xf numFmtId="179" fontId="0" fillId="0" borderId="0" xfId="0" applyNumberFormat="1"/>
    <xf numFmtId="180" fontId="0" fillId="0" borderId="0" xfId="0" applyNumberFormat="1"/>
    <xf numFmtId="177" fontId="0" fillId="0" borderId="0" xfId="0" applyNumberFormat="1"/>
    <xf numFmtId="178" fontId="5" fillId="0" borderId="11" xfId="0" applyNumberFormat="1" applyFont="1" applyBorder="1" applyAlignment="1">
      <alignment horizontal="center"/>
    </xf>
    <xf numFmtId="179" fontId="5" fillId="0" borderId="11" xfId="0" applyNumberFormat="1" applyFont="1" applyBorder="1" applyAlignment="1">
      <alignment horizontal="center"/>
    </xf>
    <xf numFmtId="180" fontId="5" fillId="0" borderId="11" xfId="0" applyNumberFormat="1" applyFont="1" applyBorder="1" applyAlignment="1">
      <alignment horizontal="center"/>
    </xf>
    <xf numFmtId="177" fontId="5" fillId="0" borderId="11" xfId="0" applyNumberFormat="1" applyFont="1" applyBorder="1" applyAlignment="1">
      <alignment horizontal="center"/>
    </xf>
    <xf numFmtId="177" fontId="5" fillId="0" borderId="12" xfId="0" applyNumberFormat="1" applyFont="1" applyBorder="1" applyAlignment="1">
      <alignment horizontal="center"/>
    </xf>
    <xf numFmtId="181" fontId="2" fillId="0" borderId="7" xfId="0" applyNumberFormat="1" applyFont="1" applyBorder="1" applyAlignment="1">
      <alignment horizontal="center"/>
    </xf>
    <xf numFmtId="179" fontId="2" fillId="0" borderId="7" xfId="0" applyNumberFormat="1" applyFont="1" applyBorder="1" applyAlignment="1">
      <alignment horizontal="center"/>
    </xf>
    <xf numFmtId="182" fontId="2" fillId="0" borderId="7" xfId="0" applyNumberFormat="1" applyFont="1" applyBorder="1" applyAlignment="1">
      <alignment horizontal="center"/>
    </xf>
    <xf numFmtId="177" fontId="2" fillId="0" borderId="7" xfId="0" applyNumberFormat="1" applyFont="1" applyBorder="1" applyAlignment="1">
      <alignment horizontal="center"/>
    </xf>
    <xf numFmtId="181" fontId="2" fillId="0" borderId="0" xfId="0" applyNumberFormat="1" applyFont="1" applyAlignment="1">
      <alignment horizontal="center"/>
    </xf>
    <xf numFmtId="179" fontId="2" fillId="0" borderId="0" xfId="0" applyNumberFormat="1" applyFont="1" applyAlignment="1">
      <alignment horizontal="center"/>
    </xf>
    <xf numFmtId="182" fontId="2" fillId="0" borderId="0" xfId="0" applyNumberFormat="1" applyFont="1" applyAlignment="1">
      <alignment horizontal="center"/>
    </xf>
    <xf numFmtId="177" fontId="2" fillId="0" borderId="0" xfId="0" applyNumberFormat="1" applyFont="1" applyAlignment="1">
      <alignment horizontal="center"/>
    </xf>
    <xf numFmtId="180" fontId="2" fillId="0" borderId="7" xfId="0" applyNumberFormat="1" applyFont="1" applyBorder="1" applyAlignment="1">
      <alignment horizontal="center"/>
    </xf>
    <xf numFmtId="180" fontId="2" fillId="0" borderId="0" xfId="0" applyNumberFormat="1" applyFont="1" applyAlignment="1">
      <alignment horizontal="center"/>
    </xf>
    <xf numFmtId="181" fontId="2" fillId="0" borderId="5" xfId="0" applyNumberFormat="1" applyFont="1" applyBorder="1" applyAlignment="1">
      <alignment horizontal="center"/>
    </xf>
    <xf numFmtId="179" fontId="2" fillId="0" borderId="5" xfId="0" applyNumberFormat="1" applyFont="1" applyBorder="1" applyAlignment="1">
      <alignment horizontal="center"/>
    </xf>
    <xf numFmtId="182" fontId="2" fillId="0" borderId="5" xfId="0" applyNumberFormat="1" applyFont="1" applyBorder="1" applyAlignment="1">
      <alignment horizontal="center"/>
    </xf>
    <xf numFmtId="177" fontId="2" fillId="0" borderId="5" xfId="0" applyNumberFormat="1" applyFont="1" applyBorder="1" applyAlignment="1">
      <alignment horizontal="center"/>
    </xf>
    <xf numFmtId="180" fontId="2" fillId="0" borderId="5" xfId="0" applyNumberFormat="1" applyFont="1" applyBorder="1" applyAlignment="1">
      <alignment horizontal="center"/>
    </xf>
    <xf numFmtId="178" fontId="2" fillId="0" borderId="7" xfId="0" applyNumberFormat="1" applyFont="1" applyBorder="1" applyAlignment="1">
      <alignment horizontal="center"/>
    </xf>
    <xf numFmtId="177" fontId="2" fillId="0" borderId="8" xfId="0" applyNumberFormat="1" applyFont="1" applyBorder="1" applyAlignment="1">
      <alignment horizontal="center"/>
    </xf>
    <xf numFmtId="178" fontId="2" fillId="0" borderId="0" xfId="0" applyNumberFormat="1" applyFont="1" applyAlignment="1">
      <alignment horizontal="center"/>
    </xf>
    <xf numFmtId="177" fontId="2" fillId="0" borderId="15" xfId="0" applyNumberFormat="1" applyFont="1" applyBorder="1" applyAlignment="1">
      <alignment horizontal="center"/>
    </xf>
    <xf numFmtId="178" fontId="2" fillId="0" borderId="5" xfId="0" applyNumberFormat="1" applyFont="1" applyBorder="1" applyAlignment="1">
      <alignment horizontal="center"/>
    </xf>
    <xf numFmtId="177" fontId="2" fillId="0" borderId="6" xfId="0" applyNumberFormat="1" applyFont="1" applyBorder="1" applyAlignment="1">
      <alignment horizontal="center"/>
    </xf>
    <xf numFmtId="0" fontId="5" fillId="0" borderId="10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10" fontId="5" fillId="0" borderId="12" xfId="0" applyNumberFormat="1" applyFont="1" applyBorder="1" applyAlignment="1">
      <alignment horizontal="center" vertical="center" wrapText="1"/>
    </xf>
    <xf numFmtId="180" fontId="5" fillId="0" borderId="0" xfId="0" applyNumberFormat="1" applyFont="1" applyAlignment="1">
      <alignment horizontal="center" vertical="center" wrapText="1"/>
    </xf>
    <xf numFmtId="180" fontId="5" fillId="0" borderId="0" xfId="0" applyNumberFormat="1" applyFont="1" applyAlignment="1">
      <alignment horizontal="center" wrapText="1"/>
    </xf>
    <xf numFmtId="10" fontId="2" fillId="0" borderId="8" xfId="0" applyNumberFormat="1" applyFont="1" applyBorder="1" applyAlignment="1">
      <alignment horizontal="center"/>
    </xf>
    <xf numFmtId="10" fontId="2" fillId="0" borderId="15" xfId="0" applyNumberFormat="1" applyFont="1" applyBorder="1" applyAlignment="1">
      <alignment horizontal="center"/>
    </xf>
    <xf numFmtId="10" fontId="2" fillId="0" borderId="6" xfId="0" applyNumberFormat="1" applyFont="1" applyBorder="1" applyAlignment="1">
      <alignment horizontal="center"/>
    </xf>
  </cellXfs>
  <cellStyles count="57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  <cellStyle name="常规 3" xfId="50"/>
    <cellStyle name="常规 3 2" xfId="51"/>
    <cellStyle name="常规 3 2 2" xfId="52"/>
    <cellStyle name="常规 3 3" xfId="53"/>
    <cellStyle name="常规 4" xfId="54"/>
    <cellStyle name="常规 5" xfId="55"/>
    <cellStyle name="常规 5 2" xfId="56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9" Type="http://schemas.openxmlformats.org/officeDocument/2006/relationships/styles" Target="styles.xml"/><Relationship Id="rId18" Type="http://schemas.openxmlformats.org/officeDocument/2006/relationships/sharedStrings" Target="sharedStrings.xml"/><Relationship Id="rId17" Type="http://schemas.openxmlformats.org/officeDocument/2006/relationships/theme" Target="theme/theme1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7"/>
  <sheetViews>
    <sheetView zoomScale="235" zoomScaleNormal="235" workbookViewId="0">
      <selection activeCell="D11" sqref="D11"/>
    </sheetView>
  </sheetViews>
  <sheetFormatPr defaultColWidth="9" defaultRowHeight="13.85" outlineLevelCol="1"/>
  <cols>
    <col min="1" max="1" width="35.4424778761062" customWidth="1"/>
  </cols>
  <sheetData>
    <row r="1" spans="1:2">
      <c r="A1" s="27" t="s">
        <v>0</v>
      </c>
      <c r="B1" s="27">
        <v>43</v>
      </c>
    </row>
    <row r="2" spans="1:2">
      <c r="A2" s="27" t="s">
        <v>1</v>
      </c>
      <c r="B2" s="27">
        <v>8</v>
      </c>
    </row>
    <row r="3" spans="1:2">
      <c r="A3" s="27" t="s">
        <v>2</v>
      </c>
      <c r="B3" s="27">
        <v>66</v>
      </c>
    </row>
    <row r="4" spans="1:2">
      <c r="A4" s="27" t="s">
        <v>3</v>
      </c>
      <c r="B4" s="27">
        <v>11</v>
      </c>
    </row>
    <row r="5" spans="1:2">
      <c r="A5" s="27" t="s">
        <v>4</v>
      </c>
      <c r="B5" s="27">
        <v>66</v>
      </c>
    </row>
    <row r="6" spans="1:2">
      <c r="A6" s="27" t="s">
        <v>5</v>
      </c>
      <c r="B6" s="27">
        <v>24</v>
      </c>
    </row>
    <row r="7" spans="1:2">
      <c r="A7" s="27" t="s">
        <v>6</v>
      </c>
      <c r="B7" s="27">
        <v>12</v>
      </c>
    </row>
    <row r="8" spans="1:2">
      <c r="A8" s="27" t="s">
        <v>7</v>
      </c>
      <c r="B8" s="27">
        <v>5</v>
      </c>
    </row>
    <row r="9" spans="1:2">
      <c r="A9" s="27" t="s">
        <v>8</v>
      </c>
      <c r="B9" s="27">
        <v>26.59</v>
      </c>
    </row>
    <row r="10" ht="15.75" spans="1:2">
      <c r="A10" s="27" t="s">
        <v>9</v>
      </c>
      <c r="B10" s="27">
        <v>225.75</v>
      </c>
    </row>
    <row r="11" ht="15.75" spans="1:2">
      <c r="A11" s="27" t="s">
        <v>10</v>
      </c>
      <c r="B11" s="27">
        <v>0.35</v>
      </c>
    </row>
    <row r="12" ht="15.75" spans="1:2">
      <c r="A12" s="27" t="s">
        <v>11</v>
      </c>
      <c r="B12" s="64">
        <v>1.9</v>
      </c>
    </row>
    <row r="13" ht="15.75" spans="1:2">
      <c r="A13" s="27" t="s">
        <v>12</v>
      </c>
      <c r="B13" s="27">
        <v>3.21</v>
      </c>
    </row>
    <row r="14" spans="1:2">
      <c r="A14" s="27" t="s">
        <v>13</v>
      </c>
      <c r="B14" s="27">
        <v>5</v>
      </c>
    </row>
    <row r="15" spans="1:2">
      <c r="A15" s="27" t="s">
        <v>14</v>
      </c>
      <c r="B15" s="27">
        <v>30000</v>
      </c>
    </row>
    <row r="16" spans="1:2">
      <c r="A16" s="27" t="s">
        <v>15</v>
      </c>
      <c r="B16" s="27">
        <v>100</v>
      </c>
    </row>
    <row r="17" spans="1:2">
      <c r="A17" s="27" t="s">
        <v>16</v>
      </c>
      <c r="B17" s="27">
        <v>8000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4"/>
  <sheetViews>
    <sheetView zoomScale="130" zoomScaleNormal="130" workbookViewId="0">
      <selection activeCell="H8" sqref="H8"/>
    </sheetView>
  </sheetViews>
  <sheetFormatPr defaultColWidth="9" defaultRowHeight="13.85" outlineLevelCol="5"/>
  <cols>
    <col min="1" max="1" width="10.1061946902655" style="27" customWidth="1"/>
    <col min="2" max="2" width="15.4424778761062" style="27" customWidth="1"/>
    <col min="3" max="3" width="8.88495575221239" style="27" customWidth="1"/>
    <col min="4" max="4" width="34.8849557522124" style="27" customWidth="1"/>
    <col min="5" max="16384" width="8.88495575221239" style="27"/>
  </cols>
  <sheetData>
    <row r="1" s="97" customFormat="1" ht="36" spans="1:6">
      <c r="A1" s="133" t="s">
        <v>17</v>
      </c>
      <c r="B1" s="134" t="s">
        <v>18</v>
      </c>
      <c r="C1" s="134" t="s">
        <v>19</v>
      </c>
      <c r="D1" s="135" t="s">
        <v>20</v>
      </c>
      <c r="E1" s="136"/>
      <c r="F1" s="137"/>
    </row>
    <row r="2" spans="1:6">
      <c r="A2" s="85">
        <v>1</v>
      </c>
      <c r="B2" s="86" t="s">
        <v>21</v>
      </c>
      <c r="C2" s="86" t="s">
        <v>22</v>
      </c>
      <c r="D2" s="138">
        <v>0.0165217919413348</v>
      </c>
    </row>
    <row r="3" spans="1:6">
      <c r="A3" s="88">
        <v>2</v>
      </c>
      <c r="B3" s="89" t="s">
        <v>23</v>
      </c>
      <c r="C3" s="89" t="s">
        <v>22</v>
      </c>
      <c r="D3" s="139">
        <v>0.351020639955922</v>
      </c>
    </row>
    <row r="4" spans="1:6">
      <c r="A4" s="88">
        <v>3</v>
      </c>
      <c r="B4" s="89" t="s">
        <v>24</v>
      </c>
      <c r="C4" s="89" t="s">
        <v>22</v>
      </c>
      <c r="D4" s="139">
        <v>0.311465625501916</v>
      </c>
    </row>
    <row r="5" ht="14.6" spans="1:6">
      <c r="A5" s="91">
        <v>4</v>
      </c>
      <c r="B5" s="92" t="s">
        <v>25</v>
      </c>
      <c r="C5" s="92" t="s">
        <v>22</v>
      </c>
      <c r="D5" s="140">
        <v>0.320991942600828</v>
      </c>
    </row>
    <row r="6" spans="1:6">
      <c r="A6" s="85">
        <v>5</v>
      </c>
      <c r="B6" s="86" t="s">
        <v>26</v>
      </c>
      <c r="C6" s="86" t="s">
        <v>27</v>
      </c>
      <c r="D6" s="138">
        <v>0.22852418472635</v>
      </c>
    </row>
    <row r="7" spans="1:6">
      <c r="A7" s="88">
        <v>6</v>
      </c>
      <c r="B7" s="89" t="s">
        <v>28</v>
      </c>
      <c r="C7" s="89" t="s">
        <v>27</v>
      </c>
      <c r="D7" s="139">
        <v>0.113754841700523</v>
      </c>
    </row>
    <row r="8" spans="1:6">
      <c r="A8" s="88">
        <v>7</v>
      </c>
      <c r="B8" s="89" t="s">
        <v>29</v>
      </c>
      <c r="C8" s="89" t="s">
        <v>27</v>
      </c>
      <c r="D8" s="139">
        <v>0.0738706273293936</v>
      </c>
    </row>
    <row r="9" spans="1:6">
      <c r="A9" s="88">
        <v>8</v>
      </c>
      <c r="B9" s="89" t="s">
        <v>30</v>
      </c>
      <c r="C9" s="89" t="s">
        <v>27</v>
      </c>
      <c r="D9" s="139">
        <v>0.126997368935406</v>
      </c>
    </row>
    <row r="10" spans="1:6">
      <c r="A10" s="88">
        <v>9</v>
      </c>
      <c r="B10" s="89" t="s">
        <v>31</v>
      </c>
      <c r="C10" s="89" t="s">
        <v>27</v>
      </c>
      <c r="D10" s="139">
        <v>0.0419867801095264</v>
      </c>
    </row>
    <row r="11" spans="1:6">
      <c r="A11" s="88">
        <v>10</v>
      </c>
      <c r="B11" s="89" t="s">
        <v>32</v>
      </c>
      <c r="C11" s="89" t="s">
        <v>27</v>
      </c>
      <c r="D11" s="139">
        <v>0.0625440722104437</v>
      </c>
    </row>
    <row r="12" spans="1:6">
      <c r="A12" s="88">
        <v>11</v>
      </c>
      <c r="B12" s="89" t="s">
        <v>33</v>
      </c>
      <c r="C12" s="89" t="s">
        <v>27</v>
      </c>
      <c r="D12" s="139">
        <v>0.0393380783288796</v>
      </c>
    </row>
    <row r="13" spans="1:6">
      <c r="A13" s="88">
        <v>12</v>
      </c>
      <c r="B13" s="89" t="s">
        <v>34</v>
      </c>
      <c r="C13" s="89" t="s">
        <v>27</v>
      </c>
      <c r="D13" s="139">
        <v>0.0321526856736368</v>
      </c>
    </row>
    <row r="14" spans="1:6">
      <c r="A14" s="88">
        <v>13</v>
      </c>
      <c r="B14" s="89" t="s">
        <v>35</v>
      </c>
      <c r="C14" s="89" t="s">
        <v>27</v>
      </c>
      <c r="D14" s="139">
        <v>0.0418185279931251</v>
      </c>
    </row>
    <row r="15" spans="1:6">
      <c r="A15" s="88">
        <v>14</v>
      </c>
      <c r="B15" s="89" t="s">
        <v>36</v>
      </c>
      <c r="C15" s="89" t="s">
        <v>27</v>
      </c>
      <c r="D15" s="139">
        <v>0.0628537685038235</v>
      </c>
    </row>
    <row r="16" spans="1:6">
      <c r="A16" s="88">
        <v>15</v>
      </c>
      <c r="B16" s="89" t="s">
        <v>37</v>
      </c>
      <c r="C16" s="89" t="s">
        <v>27</v>
      </c>
      <c r="D16" s="139">
        <v>0.0712629913998663</v>
      </c>
    </row>
    <row r="17" spans="1:4">
      <c r="A17" s="88">
        <v>16</v>
      </c>
      <c r="B17" s="89" t="s">
        <v>38</v>
      </c>
      <c r="C17" s="89" t="s">
        <v>27</v>
      </c>
      <c r="D17" s="139">
        <v>0.0610181800635865</v>
      </c>
    </row>
    <row r="18" ht="14.6" spans="1:4">
      <c r="A18" s="91">
        <v>17</v>
      </c>
      <c r="B18" s="92" t="s">
        <v>39</v>
      </c>
      <c r="C18" s="92" t="s">
        <v>27</v>
      </c>
      <c r="D18" s="140">
        <v>0.0438778930254394</v>
      </c>
    </row>
    <row r="19" spans="1:4">
      <c r="A19" s="85">
        <v>18</v>
      </c>
      <c r="B19" s="86" t="s">
        <v>40</v>
      </c>
      <c r="C19" s="86" t="s">
        <v>41</v>
      </c>
      <c r="D19" s="138">
        <v>0.103153861965275</v>
      </c>
    </row>
    <row r="20" spans="1:4">
      <c r="A20" s="88">
        <v>19</v>
      </c>
      <c r="B20" s="89" t="s">
        <v>42</v>
      </c>
      <c r="C20" s="89" t="s">
        <v>41</v>
      </c>
      <c r="D20" s="139">
        <v>0.0969689384790216</v>
      </c>
    </row>
    <row r="21" spans="1:4">
      <c r="A21" s="88">
        <v>20</v>
      </c>
      <c r="B21" s="89" t="s">
        <v>43</v>
      </c>
      <c r="C21" s="89" t="s">
        <v>41</v>
      </c>
      <c r="D21" s="139">
        <v>0.170928480467539</v>
      </c>
    </row>
    <row r="22" spans="1:4">
      <c r="A22" s="88">
        <v>21</v>
      </c>
      <c r="B22" s="89" t="s">
        <v>44</v>
      </c>
      <c r="C22" s="89" t="s">
        <v>41</v>
      </c>
      <c r="D22" s="139">
        <v>0.0164304011230032</v>
      </c>
    </row>
    <row r="23" spans="1:4">
      <c r="A23" s="88">
        <v>22</v>
      </c>
      <c r="B23" s="89" t="s">
        <v>45</v>
      </c>
      <c r="C23" s="89" t="s">
        <v>41</v>
      </c>
      <c r="D23" s="139">
        <v>0.102346316654464</v>
      </c>
    </row>
    <row r="24" spans="1:4">
      <c r="A24" s="88">
        <v>23</v>
      </c>
      <c r="B24" s="89" t="s">
        <v>46</v>
      </c>
      <c r="C24" s="89" t="s">
        <v>41</v>
      </c>
      <c r="D24" s="139">
        <v>0.102813938822414</v>
      </c>
    </row>
    <row r="25" spans="1:4">
      <c r="A25" s="88">
        <v>24</v>
      </c>
      <c r="B25" s="89" t="s">
        <v>47</v>
      </c>
      <c r="C25" s="89" t="s">
        <v>41</v>
      </c>
      <c r="D25" s="139">
        <v>0.0367502830295101</v>
      </c>
    </row>
    <row r="26" spans="1:4">
      <c r="A26" s="88">
        <v>25</v>
      </c>
      <c r="B26" s="89" t="s">
        <v>48</v>
      </c>
      <c r="C26" s="89" t="s">
        <v>41</v>
      </c>
      <c r="D26" s="139">
        <v>0.196806142501567</v>
      </c>
    </row>
    <row r="27" spans="1:4">
      <c r="A27" s="88">
        <v>26</v>
      </c>
      <c r="B27" s="89" t="s">
        <v>49</v>
      </c>
      <c r="C27" s="89" t="s">
        <v>41</v>
      </c>
      <c r="D27" s="139">
        <v>0.0618988409855733</v>
      </c>
    </row>
    <row r="28" spans="1:4">
      <c r="A28" s="88">
        <v>27</v>
      </c>
      <c r="B28" s="89" t="s">
        <v>50</v>
      </c>
      <c r="C28" s="89" t="s">
        <v>41</v>
      </c>
      <c r="D28" s="139">
        <v>0.0314174387080825</v>
      </c>
    </row>
    <row r="29" ht="14.6" spans="1:4">
      <c r="A29" s="91">
        <v>28</v>
      </c>
      <c r="B29" s="92" t="s">
        <v>51</v>
      </c>
      <c r="C29" s="92" t="s">
        <v>41</v>
      </c>
      <c r="D29" s="140">
        <v>0.080485357263551</v>
      </c>
    </row>
    <row r="30" spans="1:4">
      <c r="A30" s="85">
        <v>29</v>
      </c>
      <c r="B30" s="86" t="s">
        <v>52</v>
      </c>
      <c r="C30" s="86" t="s">
        <v>53</v>
      </c>
      <c r="D30" s="138">
        <v>0.107213007150403</v>
      </c>
    </row>
    <row r="31" spans="1:4">
      <c r="A31" s="88">
        <v>30</v>
      </c>
      <c r="B31" s="89" t="s">
        <v>54</v>
      </c>
      <c r="C31" s="89" t="s">
        <v>53</v>
      </c>
      <c r="D31" s="139">
        <v>0.19333345057784</v>
      </c>
    </row>
    <row r="32" spans="1:4">
      <c r="A32" s="88">
        <v>31</v>
      </c>
      <c r="B32" s="89" t="s">
        <v>55</v>
      </c>
      <c r="C32" s="89" t="s">
        <v>53</v>
      </c>
      <c r="D32" s="139">
        <v>0.0575541685957713</v>
      </c>
    </row>
    <row r="33" spans="1:4">
      <c r="A33" s="88">
        <v>32</v>
      </c>
      <c r="B33" s="89" t="s">
        <v>56</v>
      </c>
      <c r="C33" s="89" t="s">
        <v>53</v>
      </c>
      <c r="D33" s="139">
        <v>0.221565381191364</v>
      </c>
    </row>
    <row r="34" spans="1:4">
      <c r="A34" s="88">
        <v>33</v>
      </c>
      <c r="B34" s="89" t="s">
        <v>57</v>
      </c>
      <c r="C34" s="89" t="s">
        <v>53</v>
      </c>
      <c r="D34" s="139">
        <v>0.26271196240731</v>
      </c>
    </row>
    <row r="35" spans="1:4">
      <c r="A35" s="88">
        <v>34</v>
      </c>
      <c r="B35" s="89" t="s">
        <v>58</v>
      </c>
      <c r="C35" s="89" t="s">
        <v>53</v>
      </c>
      <c r="D35" s="139">
        <v>0.0726604784343821</v>
      </c>
    </row>
    <row r="36" spans="1:4">
      <c r="A36" s="88">
        <v>35</v>
      </c>
      <c r="B36" s="89" t="s">
        <v>59</v>
      </c>
      <c r="C36" s="89" t="s">
        <v>53</v>
      </c>
      <c r="D36" s="139">
        <v>0.0657768287776717</v>
      </c>
    </row>
    <row r="37" ht="14.6" spans="1:4">
      <c r="A37" s="91">
        <v>36</v>
      </c>
      <c r="B37" s="92" t="s">
        <v>60</v>
      </c>
      <c r="C37" s="92" t="s">
        <v>53</v>
      </c>
      <c r="D37" s="140">
        <v>0.0191847228652571</v>
      </c>
    </row>
    <row r="38" spans="1:4">
      <c r="A38" s="85">
        <v>37</v>
      </c>
      <c r="B38" s="86" t="s">
        <v>61</v>
      </c>
      <c r="C38" s="86" t="s">
        <v>62</v>
      </c>
      <c r="D38" s="138">
        <v>0.0679092523546932</v>
      </c>
    </row>
    <row r="39" spans="1:4">
      <c r="A39" s="88">
        <v>38</v>
      </c>
      <c r="B39" s="89" t="s">
        <v>63</v>
      </c>
      <c r="C39" s="89" t="s">
        <v>62</v>
      </c>
      <c r="D39" s="139">
        <v>0.223608215430452</v>
      </c>
    </row>
    <row r="40" spans="1:4">
      <c r="A40" s="88">
        <v>39</v>
      </c>
      <c r="B40" s="89" t="s">
        <v>64</v>
      </c>
      <c r="C40" s="89" t="s">
        <v>62</v>
      </c>
      <c r="D40" s="139">
        <v>0.47329592300597</v>
      </c>
    </row>
    <row r="41" ht="14.6" spans="1:4">
      <c r="A41" s="91">
        <v>40</v>
      </c>
      <c r="B41" s="92" t="s">
        <v>65</v>
      </c>
      <c r="C41" s="92" t="s">
        <v>62</v>
      </c>
      <c r="D41" s="140">
        <v>0.235186609208885</v>
      </c>
    </row>
    <row r="42" spans="1:4">
      <c r="A42" s="85">
        <v>41</v>
      </c>
      <c r="B42" s="86" t="s">
        <v>66</v>
      </c>
      <c r="C42" s="86" t="s">
        <v>67</v>
      </c>
      <c r="D42" s="138">
        <v>0</v>
      </c>
    </row>
    <row r="43" spans="1:4">
      <c r="A43" s="88">
        <v>42</v>
      </c>
      <c r="B43" s="89" t="s">
        <v>68</v>
      </c>
      <c r="C43" s="89" t="s">
        <v>69</v>
      </c>
      <c r="D43" s="139">
        <v>0</v>
      </c>
    </row>
    <row r="44" ht="14.6" spans="1:4">
      <c r="A44" s="91">
        <v>43</v>
      </c>
      <c r="B44" s="92" t="s">
        <v>70</v>
      </c>
      <c r="C44" s="92" t="s">
        <v>71</v>
      </c>
      <c r="D44" s="140">
        <v>0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180"/>
  <sheetViews>
    <sheetView zoomScale="115" zoomScaleNormal="115" topLeftCell="J1" workbookViewId="0">
      <pane ySplit="1" topLeftCell="A52" activePane="bottomLeft" state="frozen"/>
      <selection/>
      <selection pane="bottomLeft" activeCell="M60" sqref="M60"/>
    </sheetView>
  </sheetViews>
  <sheetFormatPr defaultColWidth="9" defaultRowHeight="13.85"/>
  <cols>
    <col min="1" max="1" width="11" customWidth="1"/>
    <col min="2" max="2" width="15.4424778761062" customWidth="1"/>
    <col min="3" max="3" width="17.2212389380531" customWidth="1"/>
    <col min="4" max="4" width="14.3362831858407" customWidth="1"/>
    <col min="5" max="5" width="21.8849557522124" customWidth="1"/>
    <col min="6" max="6" width="18.7787610619469" customWidth="1"/>
    <col min="7" max="7" width="11.5575221238938" customWidth="1"/>
    <col min="8" max="8" width="20.1061946902655" customWidth="1"/>
    <col min="9" max="9" width="23" style="103" customWidth="1"/>
    <col min="10" max="10" width="22.6637168141593" style="103" customWidth="1"/>
    <col min="11" max="11" width="34.8849557522124" style="103" customWidth="1"/>
    <col min="12" max="12" width="15.6637168141593" customWidth="1"/>
    <col min="13" max="13" width="24" style="104" customWidth="1"/>
    <col min="14" max="14" width="14.8849557522124" style="105" customWidth="1"/>
    <col min="15" max="15" width="12.8849557522124" customWidth="1"/>
    <col min="16" max="16" width="35.6637168141593" style="106" customWidth="1"/>
    <col min="17" max="17" width="43.8849557522124" customWidth="1"/>
  </cols>
  <sheetData>
    <row r="1" s="102" customFormat="1" ht="18.35" spans="1:17">
      <c r="A1" s="81" t="s">
        <v>72</v>
      </c>
      <c r="B1" s="82" t="s">
        <v>73</v>
      </c>
      <c r="C1" s="82" t="s">
        <v>74</v>
      </c>
      <c r="D1" s="82" t="s">
        <v>75</v>
      </c>
      <c r="E1" s="82" t="s">
        <v>76</v>
      </c>
      <c r="F1" s="82" t="s">
        <v>77</v>
      </c>
      <c r="G1" s="82" t="s">
        <v>78</v>
      </c>
      <c r="H1" s="82" t="s">
        <v>79</v>
      </c>
      <c r="I1" s="107" t="s">
        <v>80</v>
      </c>
      <c r="J1" s="107" t="s">
        <v>81</v>
      </c>
      <c r="K1" s="107" t="s">
        <v>82</v>
      </c>
      <c r="L1" s="82" t="s">
        <v>83</v>
      </c>
      <c r="M1" s="108" t="s">
        <v>84</v>
      </c>
      <c r="N1" s="109" t="s">
        <v>85</v>
      </c>
      <c r="O1" s="82" t="s">
        <v>86</v>
      </c>
      <c r="P1" s="110" t="s">
        <v>87</v>
      </c>
      <c r="Q1" s="111" t="s">
        <v>88</v>
      </c>
    </row>
    <row r="2" spans="1:17">
      <c r="A2" s="85">
        <v>1</v>
      </c>
      <c r="B2" s="86" t="s">
        <v>89</v>
      </c>
      <c r="C2" s="86">
        <v>3</v>
      </c>
      <c r="D2" s="86">
        <v>22</v>
      </c>
      <c r="E2" s="86" t="str">
        <f>_xlfn.CONCAT("Bus",C2)</f>
        <v>Bus3</v>
      </c>
      <c r="F2" s="86" t="str">
        <f>_xlfn.CONCAT("Bus",D2)</f>
        <v>Bus22</v>
      </c>
      <c r="G2" s="86">
        <v>1</v>
      </c>
      <c r="H2" s="86">
        <v>0</v>
      </c>
      <c r="I2" s="112">
        <v>0.000368310810810811</v>
      </c>
      <c r="J2" s="112">
        <v>0.00502999502982107</v>
      </c>
      <c r="K2" s="112">
        <v>1.25643</v>
      </c>
      <c r="L2" s="86">
        <v>500</v>
      </c>
      <c r="M2" s="113">
        <v>3045</v>
      </c>
      <c r="N2" s="114">
        <v>102</v>
      </c>
      <c r="O2" s="86">
        <v>2</v>
      </c>
      <c r="P2" s="115">
        <v>0</v>
      </c>
      <c r="Q2" s="87" t="s">
        <v>90</v>
      </c>
    </row>
    <row r="3" spans="1:17">
      <c r="A3" s="88">
        <v>2</v>
      </c>
      <c r="B3" s="89" t="s">
        <v>91</v>
      </c>
      <c r="C3" s="89">
        <v>29</v>
      </c>
      <c r="D3" s="89">
        <v>8</v>
      </c>
      <c r="E3" s="89" t="str">
        <f t="shared" ref="E3:E66" si="0">_xlfn.CONCAT("Bus",C3)</f>
        <v>Bus29</v>
      </c>
      <c r="F3" s="89" t="str">
        <f t="shared" ref="F3:F66" si="1">_xlfn.CONCAT("Bus",D3)</f>
        <v>Bus8</v>
      </c>
      <c r="G3" s="89">
        <v>1</v>
      </c>
      <c r="H3" s="89">
        <v>0</v>
      </c>
      <c r="I3" s="116">
        <v>0.000406257668711657</v>
      </c>
      <c r="J3" s="116">
        <v>0.00587354317311782</v>
      </c>
      <c r="K3" s="116">
        <v>1.45311</v>
      </c>
      <c r="L3" s="89">
        <v>500</v>
      </c>
      <c r="M3" s="117">
        <v>2777.25</v>
      </c>
      <c r="N3" s="118">
        <v>117</v>
      </c>
      <c r="O3" s="89">
        <v>2</v>
      </c>
      <c r="P3" s="119">
        <v>0</v>
      </c>
      <c r="Q3" s="90" t="s">
        <v>90</v>
      </c>
    </row>
    <row r="4" spans="1:17">
      <c r="A4" s="88">
        <v>3</v>
      </c>
      <c r="B4" s="89" t="s">
        <v>92</v>
      </c>
      <c r="C4" s="89">
        <v>34</v>
      </c>
      <c r="D4" s="89">
        <v>10</v>
      </c>
      <c r="E4" s="89" t="str">
        <f t="shared" si="0"/>
        <v>Bus34</v>
      </c>
      <c r="F4" s="89" t="str">
        <f t="shared" si="1"/>
        <v>Bus10</v>
      </c>
      <c r="G4" s="89">
        <v>1</v>
      </c>
      <c r="H4" s="89">
        <v>0</v>
      </c>
      <c r="I4" s="116">
        <v>0.000237473684210526</v>
      </c>
      <c r="J4" s="116">
        <v>0.00412249848392965</v>
      </c>
      <c r="K4" s="116">
        <v>1.06766</v>
      </c>
      <c r="L4" s="89">
        <v>500</v>
      </c>
      <c r="M4" s="117">
        <v>4042.5</v>
      </c>
      <c r="N4" s="118">
        <v>89.3</v>
      </c>
      <c r="O4" s="89">
        <v>2</v>
      </c>
      <c r="P4" s="119">
        <v>0</v>
      </c>
      <c r="Q4" s="90" t="s">
        <v>90</v>
      </c>
    </row>
    <row r="5" spans="1:17">
      <c r="A5" s="88">
        <v>4</v>
      </c>
      <c r="B5" s="89" t="s">
        <v>93</v>
      </c>
      <c r="C5" s="89">
        <v>10</v>
      </c>
      <c r="D5" s="89">
        <v>20</v>
      </c>
      <c r="E5" s="89" t="str">
        <f t="shared" si="0"/>
        <v>Bus10</v>
      </c>
      <c r="F5" s="89" t="str">
        <f t="shared" si="1"/>
        <v>Bus20</v>
      </c>
      <c r="G5" s="89">
        <v>1</v>
      </c>
      <c r="H5" s="89">
        <v>0</v>
      </c>
      <c r="I5" s="116">
        <v>0.00146</v>
      </c>
      <c r="J5" s="116">
        <v>0.01449</v>
      </c>
      <c r="K5" s="116">
        <v>0.90487</v>
      </c>
      <c r="L5" s="89">
        <v>500</v>
      </c>
      <c r="M5" s="117">
        <v>1243.2</v>
      </c>
      <c r="N5" s="118">
        <v>150</v>
      </c>
      <c r="O5" s="89">
        <v>1</v>
      </c>
      <c r="P5" s="119">
        <v>0</v>
      </c>
      <c r="Q5" s="90" t="s">
        <v>90</v>
      </c>
    </row>
    <row r="6" spans="1:17">
      <c r="A6" s="88">
        <v>5</v>
      </c>
      <c r="B6" s="89" t="s">
        <v>94</v>
      </c>
      <c r="C6" s="89">
        <v>31</v>
      </c>
      <c r="D6" s="89">
        <v>20</v>
      </c>
      <c r="E6" s="89" t="str">
        <f t="shared" si="0"/>
        <v>Bus31</v>
      </c>
      <c r="F6" s="89" t="str">
        <f t="shared" si="1"/>
        <v>Bus20</v>
      </c>
      <c r="G6" s="89">
        <v>1</v>
      </c>
      <c r="H6" s="89">
        <v>0</v>
      </c>
      <c r="I6" s="116">
        <v>0.00020000618064553</v>
      </c>
      <c r="J6" s="116">
        <v>0.00352369508659313</v>
      </c>
      <c r="K6" s="116">
        <v>2.03795</v>
      </c>
      <c r="L6" s="89">
        <v>500</v>
      </c>
      <c r="M6" s="117">
        <v>5023.2</v>
      </c>
      <c r="N6" s="118">
        <v>109.233333333333</v>
      </c>
      <c r="O6" s="89">
        <v>3</v>
      </c>
      <c r="P6" s="119">
        <v>0</v>
      </c>
      <c r="Q6" s="90" t="s">
        <v>90</v>
      </c>
    </row>
    <row r="7" spans="1:17">
      <c r="A7" s="88">
        <v>6</v>
      </c>
      <c r="B7" s="89" t="s">
        <v>95</v>
      </c>
      <c r="C7" s="89">
        <v>1</v>
      </c>
      <c r="D7" s="89">
        <v>7</v>
      </c>
      <c r="E7" s="89" t="str">
        <f t="shared" si="0"/>
        <v>Bus1</v>
      </c>
      <c r="F7" s="89" t="str">
        <f t="shared" si="1"/>
        <v>Bus7</v>
      </c>
      <c r="G7" s="89">
        <v>1</v>
      </c>
      <c r="H7" s="89">
        <v>0</v>
      </c>
      <c r="I7" s="116">
        <v>8.5e-5</v>
      </c>
      <c r="J7" s="116">
        <v>0.001925</v>
      </c>
      <c r="K7" s="116">
        <v>0.47208</v>
      </c>
      <c r="L7" s="89">
        <v>500</v>
      </c>
      <c r="M7" s="117">
        <v>4042.5</v>
      </c>
      <c r="N7" s="118">
        <v>40</v>
      </c>
      <c r="O7" s="89">
        <v>2</v>
      </c>
      <c r="P7" s="119">
        <v>0</v>
      </c>
      <c r="Q7" s="90" t="s">
        <v>90</v>
      </c>
    </row>
    <row r="8" spans="1:17">
      <c r="A8" s="88">
        <v>7</v>
      </c>
      <c r="B8" s="89" t="s">
        <v>96</v>
      </c>
      <c r="C8" s="89">
        <v>21</v>
      </c>
      <c r="D8" s="89">
        <v>40</v>
      </c>
      <c r="E8" s="89" t="str">
        <f t="shared" si="0"/>
        <v>Bus21</v>
      </c>
      <c r="F8" s="89" t="str">
        <f t="shared" si="1"/>
        <v>Bus40</v>
      </c>
      <c r="G8" s="89">
        <v>1</v>
      </c>
      <c r="H8" s="89">
        <v>0</v>
      </c>
      <c r="I8" s="116">
        <v>0.000748051948051948</v>
      </c>
      <c r="J8" s="116">
        <v>0.00964726613112205</v>
      </c>
      <c r="K8" s="116">
        <v>2.1114</v>
      </c>
      <c r="L8" s="89">
        <v>500</v>
      </c>
      <c r="M8" s="117">
        <v>2377.2</v>
      </c>
      <c r="N8" s="118">
        <v>190</v>
      </c>
      <c r="O8" s="89">
        <v>2</v>
      </c>
      <c r="P8" s="119">
        <v>0</v>
      </c>
      <c r="Q8" s="90" t="s">
        <v>90</v>
      </c>
    </row>
    <row r="9" spans="1:17">
      <c r="A9" s="88">
        <v>8</v>
      </c>
      <c r="B9" s="89" t="s">
        <v>97</v>
      </c>
      <c r="C9" s="89">
        <v>5</v>
      </c>
      <c r="D9" s="89">
        <v>4</v>
      </c>
      <c r="E9" s="89" t="str">
        <f t="shared" si="0"/>
        <v>Bus5</v>
      </c>
      <c r="F9" s="89" t="str">
        <f t="shared" si="1"/>
        <v>Bus4</v>
      </c>
      <c r="G9" s="89">
        <v>1</v>
      </c>
      <c r="H9" s="89">
        <v>0</v>
      </c>
      <c r="I9" s="116">
        <v>2.49056802369297e-5</v>
      </c>
      <c r="J9" s="116">
        <v>0.0007825</v>
      </c>
      <c r="K9" s="116">
        <v>0.65791</v>
      </c>
      <c r="L9" s="89">
        <v>500</v>
      </c>
      <c r="M9" s="117">
        <v>12127.5</v>
      </c>
      <c r="N9" s="118">
        <v>31.3</v>
      </c>
      <c r="O9" s="89">
        <v>4</v>
      </c>
      <c r="P9" s="119">
        <v>0</v>
      </c>
      <c r="Q9" s="90" t="s">
        <v>90</v>
      </c>
    </row>
    <row r="10" spans="1:17">
      <c r="A10" s="88">
        <v>9</v>
      </c>
      <c r="B10" s="89" t="s">
        <v>98</v>
      </c>
      <c r="C10" s="89">
        <v>2</v>
      </c>
      <c r="D10" s="89">
        <v>4</v>
      </c>
      <c r="E10" s="89" t="str">
        <f t="shared" si="0"/>
        <v>Bus2</v>
      </c>
      <c r="F10" s="89" t="str">
        <f t="shared" si="1"/>
        <v>Bus4</v>
      </c>
      <c r="G10" s="89">
        <v>1</v>
      </c>
      <c r="H10" s="89">
        <v>0</v>
      </c>
      <c r="I10" s="116">
        <v>7.24996132611421e-5</v>
      </c>
      <c r="J10" s="116">
        <v>0.0010800057610754</v>
      </c>
      <c r="K10" s="116">
        <v>0.29398</v>
      </c>
      <c r="L10" s="89">
        <v>500</v>
      </c>
      <c r="M10" s="117">
        <v>2520</v>
      </c>
      <c r="N10" s="118">
        <v>23.2</v>
      </c>
      <c r="O10" s="89">
        <v>2</v>
      </c>
      <c r="P10" s="119">
        <v>0</v>
      </c>
      <c r="Q10" s="90" t="s">
        <v>90</v>
      </c>
    </row>
    <row r="11" spans="1:17">
      <c r="A11" s="88">
        <v>10</v>
      </c>
      <c r="B11" s="89" t="s">
        <v>99</v>
      </c>
      <c r="C11" s="89">
        <v>2</v>
      </c>
      <c r="D11" s="89">
        <v>3</v>
      </c>
      <c r="E11" s="89" t="str">
        <f t="shared" si="0"/>
        <v>Bus2</v>
      </c>
      <c r="F11" s="89" t="str">
        <f t="shared" si="1"/>
        <v>Bus3</v>
      </c>
      <c r="G11" s="89">
        <v>1</v>
      </c>
      <c r="H11" s="89">
        <v>0</v>
      </c>
      <c r="I11" s="116">
        <v>9.25369184835682e-5</v>
      </c>
      <c r="J11" s="116">
        <v>0.00188742233905151</v>
      </c>
      <c r="K11" s="116">
        <v>0.61046</v>
      </c>
      <c r="L11" s="89">
        <v>500</v>
      </c>
      <c r="M11" s="117">
        <v>6121.5</v>
      </c>
      <c r="N11" s="118">
        <v>43.7</v>
      </c>
      <c r="O11" s="89">
        <v>2</v>
      </c>
      <c r="P11" s="119">
        <v>0</v>
      </c>
      <c r="Q11" s="90" t="s">
        <v>90</v>
      </c>
    </row>
    <row r="12" spans="1:17">
      <c r="A12" s="88">
        <v>11</v>
      </c>
      <c r="B12" s="89" t="s">
        <v>100</v>
      </c>
      <c r="C12" s="89">
        <v>4</v>
      </c>
      <c r="D12" s="89">
        <v>3</v>
      </c>
      <c r="E12" s="89" t="str">
        <f t="shared" si="0"/>
        <v>Bus4</v>
      </c>
      <c r="F12" s="89" t="str">
        <f t="shared" si="1"/>
        <v>Bus3</v>
      </c>
      <c r="G12" s="89">
        <v>1</v>
      </c>
      <c r="H12" s="89">
        <v>0</v>
      </c>
      <c r="I12" s="116">
        <v>6.328e-5</v>
      </c>
      <c r="J12" s="116">
        <v>0.001119227595884</v>
      </c>
      <c r="K12" s="116">
        <v>0.30566</v>
      </c>
      <c r="L12" s="89">
        <v>500</v>
      </c>
      <c r="M12" s="117">
        <v>2509.5</v>
      </c>
      <c r="N12" s="118">
        <v>22.6</v>
      </c>
      <c r="O12" s="89">
        <v>2</v>
      </c>
      <c r="P12" s="119">
        <v>0</v>
      </c>
      <c r="Q12" s="90" t="s">
        <v>90</v>
      </c>
    </row>
    <row r="13" spans="1:17">
      <c r="A13" s="88">
        <v>12</v>
      </c>
      <c r="B13" s="89" t="s">
        <v>101</v>
      </c>
      <c r="C13" s="89">
        <v>5</v>
      </c>
      <c r="D13" s="89">
        <v>6</v>
      </c>
      <c r="E13" s="89" t="str">
        <f t="shared" si="0"/>
        <v>Bus5</v>
      </c>
      <c r="F13" s="89" t="str">
        <f t="shared" si="1"/>
        <v>Bus6</v>
      </c>
      <c r="G13" s="89">
        <v>1</v>
      </c>
      <c r="H13" s="89">
        <v>0</v>
      </c>
      <c r="I13" s="116">
        <v>4.26261941309979e-5</v>
      </c>
      <c r="J13" s="116">
        <v>0.000907977768004042</v>
      </c>
      <c r="K13" s="116">
        <v>0.89968</v>
      </c>
      <c r="L13" s="89">
        <v>500</v>
      </c>
      <c r="M13" s="117">
        <v>7050.75</v>
      </c>
      <c r="N13" s="118">
        <v>38.325</v>
      </c>
      <c r="O13" s="89">
        <v>4</v>
      </c>
      <c r="P13" s="119">
        <v>0</v>
      </c>
      <c r="Q13" s="90" t="s">
        <v>90</v>
      </c>
    </row>
    <row r="14" spans="1:17">
      <c r="A14" s="88">
        <v>13</v>
      </c>
      <c r="B14" s="89" t="s">
        <v>102</v>
      </c>
      <c r="C14" s="89">
        <v>9</v>
      </c>
      <c r="D14" s="89">
        <v>8</v>
      </c>
      <c r="E14" s="89" t="str">
        <f t="shared" si="0"/>
        <v>Bus9</v>
      </c>
      <c r="F14" s="89" t="str">
        <f t="shared" si="1"/>
        <v>Bus8</v>
      </c>
      <c r="G14" s="89">
        <v>1</v>
      </c>
      <c r="H14" s="89">
        <v>0</v>
      </c>
      <c r="I14" s="116">
        <v>5.69370030887656e-5</v>
      </c>
      <c r="J14" s="116">
        <v>0.00107865198966054</v>
      </c>
      <c r="K14" s="116">
        <v>2.66112</v>
      </c>
      <c r="L14" s="89">
        <v>500</v>
      </c>
      <c r="M14" s="117">
        <v>11382</v>
      </c>
      <c r="N14" s="118">
        <v>73.2333333333333</v>
      </c>
      <c r="O14" s="89">
        <v>6</v>
      </c>
      <c r="P14" s="119">
        <v>0</v>
      </c>
      <c r="Q14" s="90" t="s">
        <v>90</v>
      </c>
    </row>
    <row r="15" spans="1:17">
      <c r="A15" s="88">
        <v>14</v>
      </c>
      <c r="B15" s="89" t="s">
        <v>103</v>
      </c>
      <c r="C15" s="89">
        <v>15</v>
      </c>
      <c r="D15" s="89">
        <v>14</v>
      </c>
      <c r="E15" s="89" t="str">
        <f t="shared" si="0"/>
        <v>Bus15</v>
      </c>
      <c r="F15" s="89" t="str">
        <f t="shared" si="1"/>
        <v>Bus14</v>
      </c>
      <c r="G15" s="89">
        <v>1</v>
      </c>
      <c r="H15" s="89">
        <v>0</v>
      </c>
      <c r="I15" s="116">
        <v>8.46751922106701e-5</v>
      </c>
      <c r="J15" s="116">
        <v>0.00149906479725029</v>
      </c>
      <c r="K15" s="116">
        <v>1.06506</v>
      </c>
      <c r="L15" s="89">
        <v>500</v>
      </c>
      <c r="M15" s="117">
        <v>7182</v>
      </c>
      <c r="N15" s="118">
        <v>56.0666666666667</v>
      </c>
      <c r="O15" s="89">
        <v>3</v>
      </c>
      <c r="P15" s="119">
        <v>0</v>
      </c>
      <c r="Q15" s="90" t="s">
        <v>90</v>
      </c>
    </row>
    <row r="16" spans="1:17">
      <c r="A16" s="88">
        <v>15</v>
      </c>
      <c r="B16" s="89" t="s">
        <v>104</v>
      </c>
      <c r="C16" s="89">
        <v>12</v>
      </c>
      <c r="D16" s="89">
        <v>15</v>
      </c>
      <c r="E16" s="89" t="str">
        <f t="shared" si="0"/>
        <v>Bus12</v>
      </c>
      <c r="F16" s="89" t="str">
        <f t="shared" si="1"/>
        <v>Bus15</v>
      </c>
      <c r="G16" s="89">
        <v>1</v>
      </c>
      <c r="H16" s="89">
        <v>0</v>
      </c>
      <c r="I16" s="116">
        <v>0.00042</v>
      </c>
      <c r="J16" s="116">
        <v>0.00956</v>
      </c>
      <c r="K16" s="116">
        <v>0.55321</v>
      </c>
      <c r="L16" s="89">
        <v>500</v>
      </c>
      <c r="M16" s="117">
        <v>1569.75</v>
      </c>
      <c r="N16" s="118">
        <v>96</v>
      </c>
      <c r="O16" s="89">
        <v>1</v>
      </c>
      <c r="P16" s="119">
        <v>0</v>
      </c>
      <c r="Q16" s="90" t="s">
        <v>90</v>
      </c>
    </row>
    <row r="17" spans="1:17">
      <c r="A17" s="88">
        <v>16</v>
      </c>
      <c r="B17" s="89" t="s">
        <v>105</v>
      </c>
      <c r="C17" s="89">
        <v>10</v>
      </c>
      <c r="D17" s="89">
        <v>6</v>
      </c>
      <c r="E17" s="89" t="str">
        <f t="shared" si="0"/>
        <v>Bus10</v>
      </c>
      <c r="F17" s="89" t="str">
        <f t="shared" si="1"/>
        <v>Bus6</v>
      </c>
      <c r="G17" s="89">
        <v>1</v>
      </c>
      <c r="H17" s="89">
        <v>0</v>
      </c>
      <c r="I17" s="116">
        <v>1.74319053256439e-5</v>
      </c>
      <c r="J17" s="116">
        <v>0.000315185185185185</v>
      </c>
      <c r="K17" s="116">
        <v>1.5268</v>
      </c>
      <c r="L17" s="89">
        <v>500</v>
      </c>
      <c r="M17" s="117">
        <v>19362</v>
      </c>
      <c r="N17" s="118">
        <v>28.3666666666667</v>
      </c>
      <c r="O17" s="89">
        <v>9</v>
      </c>
      <c r="P17" s="119">
        <v>0</v>
      </c>
      <c r="Q17" s="90" t="s">
        <v>90</v>
      </c>
    </row>
    <row r="18" spans="1:17">
      <c r="A18" s="88">
        <v>17</v>
      </c>
      <c r="B18" s="89" t="s">
        <v>106</v>
      </c>
      <c r="C18" s="89">
        <v>10</v>
      </c>
      <c r="D18" s="89">
        <v>8</v>
      </c>
      <c r="E18" s="89" t="str">
        <f t="shared" si="0"/>
        <v>Bus10</v>
      </c>
      <c r="F18" s="89" t="str">
        <f t="shared" si="1"/>
        <v>Bus8</v>
      </c>
      <c r="G18" s="89">
        <v>1</v>
      </c>
      <c r="H18" s="89">
        <v>0</v>
      </c>
      <c r="I18" s="116">
        <v>0.000201473684210526</v>
      </c>
      <c r="J18" s="116">
        <v>0.00322435335689046</v>
      </c>
      <c r="K18" s="116">
        <v>0.88149</v>
      </c>
      <c r="L18" s="89">
        <v>500</v>
      </c>
      <c r="M18" s="117">
        <v>3543.75</v>
      </c>
      <c r="N18" s="118">
        <v>73.25</v>
      </c>
      <c r="O18" s="89">
        <v>2</v>
      </c>
      <c r="P18" s="119">
        <v>0</v>
      </c>
      <c r="Q18" s="90" t="s">
        <v>90</v>
      </c>
    </row>
    <row r="19" spans="1:17">
      <c r="A19" s="88">
        <v>18</v>
      </c>
      <c r="B19" s="89" t="s">
        <v>107</v>
      </c>
      <c r="C19" s="89">
        <v>6</v>
      </c>
      <c r="D19" s="89">
        <v>8</v>
      </c>
      <c r="E19" s="89" t="str">
        <f t="shared" si="0"/>
        <v>Bus6</v>
      </c>
      <c r="F19" s="89" t="str">
        <f t="shared" si="1"/>
        <v>Bus8</v>
      </c>
      <c r="G19" s="89">
        <v>1</v>
      </c>
      <c r="H19" s="89">
        <v>0</v>
      </c>
      <c r="I19" s="116">
        <v>0.00032</v>
      </c>
      <c r="J19" s="116">
        <v>0.00731</v>
      </c>
      <c r="K19" s="116">
        <v>0.4232</v>
      </c>
      <c r="L19" s="89">
        <v>500</v>
      </c>
      <c r="M19" s="117">
        <v>2021.25</v>
      </c>
      <c r="N19" s="118">
        <v>73.4</v>
      </c>
      <c r="O19" s="89">
        <v>1</v>
      </c>
      <c r="P19" s="119">
        <v>0</v>
      </c>
      <c r="Q19" s="90" t="s">
        <v>90</v>
      </c>
    </row>
    <row r="20" spans="1:17">
      <c r="A20" s="88">
        <v>19</v>
      </c>
      <c r="B20" s="89" t="s">
        <v>108</v>
      </c>
      <c r="C20" s="89">
        <v>13</v>
      </c>
      <c r="D20" s="89">
        <v>14</v>
      </c>
      <c r="E20" s="89" t="str">
        <f t="shared" si="0"/>
        <v>Bus13</v>
      </c>
      <c r="F20" s="89" t="str">
        <f t="shared" si="1"/>
        <v>Bus14</v>
      </c>
      <c r="G20" s="89">
        <v>1</v>
      </c>
      <c r="H20" s="89">
        <v>0</v>
      </c>
      <c r="I20" s="116">
        <v>0.00015105689364915</v>
      </c>
      <c r="J20" s="116">
        <v>0.003051875</v>
      </c>
      <c r="K20" s="116">
        <v>2.90562</v>
      </c>
      <c r="L20" s="89">
        <v>500</v>
      </c>
      <c r="M20" s="117">
        <v>5916.75</v>
      </c>
      <c r="N20" s="118">
        <v>122.075</v>
      </c>
      <c r="O20" s="89">
        <v>4</v>
      </c>
      <c r="P20" s="119">
        <v>0</v>
      </c>
      <c r="Q20" s="90" t="s">
        <v>90</v>
      </c>
    </row>
    <row r="21" spans="1:17">
      <c r="A21" s="88">
        <v>20</v>
      </c>
      <c r="B21" s="89" t="s">
        <v>109</v>
      </c>
      <c r="C21" s="89">
        <v>13</v>
      </c>
      <c r="D21" s="89">
        <v>16</v>
      </c>
      <c r="E21" s="89" t="str">
        <f t="shared" si="0"/>
        <v>Bus13</v>
      </c>
      <c r="F21" s="89" t="str">
        <f t="shared" si="1"/>
        <v>Bus16</v>
      </c>
      <c r="G21" s="89">
        <v>1</v>
      </c>
      <c r="H21" s="89">
        <v>0</v>
      </c>
      <c r="I21" s="116">
        <v>0.000273799807564501</v>
      </c>
      <c r="J21" s="116">
        <v>0.00468808116678074</v>
      </c>
      <c r="K21" s="116">
        <v>1.26855</v>
      </c>
      <c r="L21" s="89">
        <v>500</v>
      </c>
      <c r="M21" s="117">
        <v>3591</v>
      </c>
      <c r="N21" s="118">
        <v>100.6</v>
      </c>
      <c r="O21" s="89">
        <v>2</v>
      </c>
      <c r="P21" s="119">
        <v>0</v>
      </c>
      <c r="Q21" s="90" t="s">
        <v>90</v>
      </c>
    </row>
    <row r="22" spans="1:17">
      <c r="A22" s="88">
        <v>21</v>
      </c>
      <c r="B22" s="89" t="s">
        <v>110</v>
      </c>
      <c r="C22" s="89">
        <v>9</v>
      </c>
      <c r="D22" s="89">
        <v>16</v>
      </c>
      <c r="E22" s="89" t="str">
        <f t="shared" si="0"/>
        <v>Bus9</v>
      </c>
      <c r="F22" s="89" t="str">
        <f t="shared" si="1"/>
        <v>Bus16</v>
      </c>
      <c r="G22" s="89">
        <v>1</v>
      </c>
      <c r="H22" s="89">
        <v>0</v>
      </c>
      <c r="I22" s="116">
        <v>3.61414410578054e-5</v>
      </c>
      <c r="J22" s="116">
        <v>0.0008490625</v>
      </c>
      <c r="K22" s="116">
        <v>3.32525</v>
      </c>
      <c r="L22" s="89">
        <v>500</v>
      </c>
      <c r="M22" s="117">
        <v>13051.5</v>
      </c>
      <c r="N22" s="118">
        <v>67.925</v>
      </c>
      <c r="O22" s="89">
        <v>8</v>
      </c>
      <c r="P22" s="119">
        <v>0</v>
      </c>
      <c r="Q22" s="90" t="s">
        <v>90</v>
      </c>
    </row>
    <row r="23" spans="1:17">
      <c r="A23" s="88">
        <v>22</v>
      </c>
      <c r="B23" s="89" t="s">
        <v>111</v>
      </c>
      <c r="C23" s="89">
        <v>9</v>
      </c>
      <c r="D23" s="89">
        <v>11</v>
      </c>
      <c r="E23" s="89" t="str">
        <f t="shared" si="0"/>
        <v>Bus9</v>
      </c>
      <c r="F23" s="89" t="str">
        <f t="shared" si="1"/>
        <v>Bus11</v>
      </c>
      <c r="G23" s="89">
        <v>1</v>
      </c>
      <c r="H23" s="89">
        <v>0</v>
      </c>
      <c r="I23" s="116">
        <v>0.000334415444580733</v>
      </c>
      <c r="J23" s="116">
        <v>0.00523800494392104</v>
      </c>
      <c r="K23" s="116">
        <v>5.1599</v>
      </c>
      <c r="L23" s="89">
        <v>500</v>
      </c>
      <c r="M23" s="117">
        <v>6552</v>
      </c>
      <c r="N23" s="118">
        <v>216.75</v>
      </c>
      <c r="O23" s="89">
        <v>4</v>
      </c>
      <c r="P23" s="119">
        <v>0</v>
      </c>
      <c r="Q23" s="90" t="s">
        <v>90</v>
      </c>
    </row>
    <row r="24" spans="1:17">
      <c r="A24" s="88">
        <v>23</v>
      </c>
      <c r="B24" s="89" t="s">
        <v>112</v>
      </c>
      <c r="C24" s="89">
        <v>5</v>
      </c>
      <c r="D24" s="89">
        <v>17</v>
      </c>
      <c r="E24" s="89" t="str">
        <f t="shared" si="0"/>
        <v>Bus5</v>
      </c>
      <c r="F24" s="89" t="str">
        <f t="shared" si="1"/>
        <v>Bus17</v>
      </c>
      <c r="G24" s="89">
        <v>1</v>
      </c>
      <c r="H24" s="89">
        <v>0</v>
      </c>
      <c r="I24" s="116">
        <v>0.000192804975044769</v>
      </c>
      <c r="J24" s="116">
        <v>0.00433260043862849</v>
      </c>
      <c r="K24" s="116">
        <v>1.06608</v>
      </c>
      <c r="L24" s="89">
        <v>500</v>
      </c>
      <c r="M24" s="117">
        <v>3139.5</v>
      </c>
      <c r="N24" s="118">
        <v>92.5</v>
      </c>
      <c r="O24" s="89">
        <v>2</v>
      </c>
      <c r="P24" s="119">
        <v>0</v>
      </c>
      <c r="Q24" s="90" t="s">
        <v>90</v>
      </c>
    </row>
    <row r="25" spans="1:17">
      <c r="A25" s="88">
        <v>24</v>
      </c>
      <c r="B25" s="89" t="s">
        <v>113</v>
      </c>
      <c r="C25" s="89">
        <v>12</v>
      </c>
      <c r="D25" s="89">
        <v>14</v>
      </c>
      <c r="E25" s="89" t="str">
        <f t="shared" si="0"/>
        <v>Bus12</v>
      </c>
      <c r="F25" s="89" t="str">
        <f t="shared" si="1"/>
        <v>Bus14</v>
      </c>
      <c r="G25" s="89">
        <v>1</v>
      </c>
      <c r="H25" s="89">
        <v>0</v>
      </c>
      <c r="I25" s="116">
        <v>0.00049</v>
      </c>
      <c r="J25" s="116">
        <v>0.01105</v>
      </c>
      <c r="K25" s="116">
        <v>0.63965</v>
      </c>
      <c r="L25" s="89">
        <v>500</v>
      </c>
      <c r="M25" s="117">
        <v>1569.75</v>
      </c>
      <c r="N25" s="118">
        <v>111</v>
      </c>
      <c r="O25" s="89">
        <v>1</v>
      </c>
      <c r="P25" s="119">
        <v>0</v>
      </c>
      <c r="Q25" s="90" t="s">
        <v>90</v>
      </c>
    </row>
    <row r="26" spans="1:17">
      <c r="A26" s="88">
        <v>25</v>
      </c>
      <c r="B26" s="89" t="s">
        <v>114</v>
      </c>
      <c r="C26" s="89">
        <v>12</v>
      </c>
      <c r="D26" s="89">
        <v>6</v>
      </c>
      <c r="E26" s="89" t="str">
        <f t="shared" si="0"/>
        <v>Bus12</v>
      </c>
      <c r="F26" s="89" t="str">
        <f t="shared" si="1"/>
        <v>Bus6</v>
      </c>
      <c r="G26" s="89">
        <v>1</v>
      </c>
      <c r="H26" s="89">
        <v>0</v>
      </c>
      <c r="I26" s="116">
        <v>0.000319744727780223</v>
      </c>
      <c r="J26" s="116">
        <v>0.0040121852493183</v>
      </c>
      <c r="K26" s="116">
        <v>1.18239</v>
      </c>
      <c r="L26" s="89">
        <v>500</v>
      </c>
      <c r="M26" s="117">
        <v>3255</v>
      </c>
      <c r="N26" s="118">
        <v>82.7</v>
      </c>
      <c r="O26" s="89">
        <v>2</v>
      </c>
      <c r="P26" s="119">
        <v>0</v>
      </c>
      <c r="Q26" s="90" t="s">
        <v>90</v>
      </c>
    </row>
    <row r="27" spans="1:17">
      <c r="A27" s="88">
        <v>26</v>
      </c>
      <c r="B27" s="89" t="s">
        <v>115</v>
      </c>
      <c r="C27" s="89">
        <v>17</v>
      </c>
      <c r="D27" s="89">
        <v>8</v>
      </c>
      <c r="E27" s="89" t="str">
        <f t="shared" si="0"/>
        <v>Bus17</v>
      </c>
      <c r="F27" s="89" t="str">
        <f t="shared" si="1"/>
        <v>Bus8</v>
      </c>
      <c r="G27" s="89">
        <v>1</v>
      </c>
      <c r="H27" s="89">
        <v>0</v>
      </c>
      <c r="I27" s="116">
        <v>8.5e-5</v>
      </c>
      <c r="J27" s="116">
        <v>0.00144</v>
      </c>
      <c r="K27" s="116">
        <v>0.37234</v>
      </c>
      <c r="L27" s="89">
        <v>500</v>
      </c>
      <c r="M27" s="117">
        <v>4011</v>
      </c>
      <c r="N27" s="118">
        <v>31.2</v>
      </c>
      <c r="O27" s="89">
        <v>2</v>
      </c>
      <c r="P27" s="119">
        <v>0</v>
      </c>
      <c r="Q27" s="90" t="s">
        <v>90</v>
      </c>
    </row>
    <row r="28" spans="1:17">
      <c r="A28" s="88">
        <v>27</v>
      </c>
      <c r="B28" s="89" t="s">
        <v>116</v>
      </c>
      <c r="C28" s="89">
        <v>7</v>
      </c>
      <c r="D28" s="89">
        <v>14</v>
      </c>
      <c r="E28" s="89" t="str">
        <f t="shared" si="0"/>
        <v>Bus7</v>
      </c>
      <c r="F28" s="89" t="str">
        <f t="shared" si="1"/>
        <v>Bus14</v>
      </c>
      <c r="G28" s="89">
        <v>1</v>
      </c>
      <c r="H28" s="89">
        <v>0</v>
      </c>
      <c r="I28" s="116">
        <v>2.84814740963811e-5</v>
      </c>
      <c r="J28" s="116">
        <v>0.000564893009267734</v>
      </c>
      <c r="K28" s="116">
        <v>0.821</v>
      </c>
      <c r="L28" s="89">
        <v>500</v>
      </c>
      <c r="M28" s="117">
        <v>7623</v>
      </c>
      <c r="N28" s="118">
        <v>32.84</v>
      </c>
      <c r="O28" s="89">
        <v>5</v>
      </c>
      <c r="P28" s="119">
        <v>0</v>
      </c>
      <c r="Q28" s="90" t="s">
        <v>90</v>
      </c>
    </row>
    <row r="29" spans="1:17">
      <c r="A29" s="88">
        <v>28</v>
      </c>
      <c r="B29" s="89" t="s">
        <v>117</v>
      </c>
      <c r="C29" s="89">
        <v>15</v>
      </c>
      <c r="D29" s="89">
        <v>6</v>
      </c>
      <c r="E29" s="89" t="str">
        <f t="shared" si="0"/>
        <v>Bus15</v>
      </c>
      <c r="F29" s="89" t="str">
        <f t="shared" si="1"/>
        <v>Bus6</v>
      </c>
      <c r="G29" s="89">
        <v>1</v>
      </c>
      <c r="H29" s="89">
        <v>0</v>
      </c>
      <c r="I29" s="116">
        <v>0.00038</v>
      </c>
      <c r="J29" s="116">
        <v>0.0086</v>
      </c>
      <c r="K29" s="116">
        <v>1.99102</v>
      </c>
      <c r="L29" s="89">
        <v>500</v>
      </c>
      <c r="M29" s="117">
        <v>3139.5</v>
      </c>
      <c r="N29" s="118">
        <v>173</v>
      </c>
      <c r="O29" s="89">
        <v>2</v>
      </c>
      <c r="P29" s="119">
        <v>0</v>
      </c>
      <c r="Q29" s="90" t="s">
        <v>90</v>
      </c>
    </row>
    <row r="30" spans="1:17">
      <c r="A30" s="88">
        <v>29</v>
      </c>
      <c r="B30" s="89" t="s">
        <v>118</v>
      </c>
      <c r="C30" s="89">
        <v>7</v>
      </c>
      <c r="D30" s="89">
        <v>15</v>
      </c>
      <c r="E30" s="89" t="str">
        <f t="shared" si="0"/>
        <v>Bus7</v>
      </c>
      <c r="F30" s="89" t="str">
        <f t="shared" si="1"/>
        <v>Bus15</v>
      </c>
      <c r="G30" s="89">
        <v>1</v>
      </c>
      <c r="H30" s="89">
        <v>0</v>
      </c>
      <c r="I30" s="116">
        <v>0.000155</v>
      </c>
      <c r="J30" s="116">
        <v>0.00284249780123131</v>
      </c>
      <c r="K30" s="116">
        <v>0.75896</v>
      </c>
      <c r="L30" s="89">
        <v>500</v>
      </c>
      <c r="M30" s="117">
        <v>4042.5</v>
      </c>
      <c r="N30" s="118">
        <v>58.5</v>
      </c>
      <c r="O30" s="89">
        <v>2</v>
      </c>
      <c r="P30" s="119">
        <v>0</v>
      </c>
      <c r="Q30" s="90" t="s">
        <v>90</v>
      </c>
    </row>
    <row r="31" spans="1:17">
      <c r="A31" s="88">
        <v>30</v>
      </c>
      <c r="B31" s="89" t="s">
        <v>119</v>
      </c>
      <c r="C31" s="89">
        <v>15</v>
      </c>
      <c r="D31" s="89">
        <v>9</v>
      </c>
      <c r="E31" s="89" t="str">
        <f t="shared" si="0"/>
        <v>Bus15</v>
      </c>
      <c r="F31" s="89" t="str">
        <f t="shared" si="1"/>
        <v>Bus9</v>
      </c>
      <c r="G31" s="89">
        <v>1</v>
      </c>
      <c r="H31" s="89">
        <v>0</v>
      </c>
      <c r="I31" s="116">
        <v>0.0002</v>
      </c>
      <c r="J31" s="116">
        <v>0.00448</v>
      </c>
      <c r="K31" s="116">
        <v>1.03718</v>
      </c>
      <c r="L31" s="89">
        <v>500</v>
      </c>
      <c r="M31" s="117">
        <v>4042.5</v>
      </c>
      <c r="N31" s="118">
        <v>90</v>
      </c>
      <c r="O31" s="89">
        <v>2</v>
      </c>
      <c r="P31" s="119">
        <v>0</v>
      </c>
      <c r="Q31" s="90" t="s">
        <v>90</v>
      </c>
    </row>
    <row r="32" spans="1:17">
      <c r="A32" s="88">
        <v>31</v>
      </c>
      <c r="B32" s="89" t="s">
        <v>120</v>
      </c>
      <c r="C32" s="89">
        <v>17</v>
      </c>
      <c r="D32" s="89">
        <v>15</v>
      </c>
      <c r="E32" s="89" t="str">
        <f t="shared" si="0"/>
        <v>Bus17</v>
      </c>
      <c r="F32" s="89" t="str">
        <f t="shared" si="1"/>
        <v>Bus15</v>
      </c>
      <c r="G32" s="89">
        <v>1</v>
      </c>
      <c r="H32" s="89">
        <v>0</v>
      </c>
      <c r="I32" s="116">
        <v>0.000144827586206896</v>
      </c>
      <c r="J32" s="116">
        <v>0.00223126539753639</v>
      </c>
      <c r="K32" s="116">
        <v>0.57237</v>
      </c>
      <c r="L32" s="89">
        <v>500</v>
      </c>
      <c r="M32" s="117">
        <v>4200</v>
      </c>
      <c r="N32" s="118">
        <v>45.6</v>
      </c>
      <c r="O32" s="89">
        <v>2</v>
      </c>
      <c r="P32" s="119">
        <v>0</v>
      </c>
      <c r="Q32" s="90" t="s">
        <v>90</v>
      </c>
    </row>
    <row r="33" spans="1:17">
      <c r="A33" s="88">
        <v>32</v>
      </c>
      <c r="B33" s="89" t="s">
        <v>121</v>
      </c>
      <c r="C33" s="89">
        <v>12</v>
      </c>
      <c r="D33" s="89">
        <v>7</v>
      </c>
      <c r="E33" s="89" t="str">
        <f t="shared" si="0"/>
        <v>Bus12</v>
      </c>
      <c r="F33" s="89" t="str">
        <f t="shared" si="1"/>
        <v>Bus7</v>
      </c>
      <c r="G33" s="89">
        <v>1</v>
      </c>
      <c r="H33" s="89">
        <v>0</v>
      </c>
      <c r="I33" s="116">
        <v>9.95723583647006e-5</v>
      </c>
      <c r="J33" s="116">
        <v>0.00160997051648217</v>
      </c>
      <c r="K33" s="116">
        <v>0.899</v>
      </c>
      <c r="L33" s="89">
        <v>500</v>
      </c>
      <c r="M33" s="117">
        <v>4352.25</v>
      </c>
      <c r="N33" s="118">
        <v>51</v>
      </c>
      <c r="O33" s="89">
        <v>3</v>
      </c>
      <c r="P33" s="119">
        <v>0</v>
      </c>
      <c r="Q33" s="90" t="s">
        <v>90</v>
      </c>
    </row>
    <row r="34" spans="1:17">
      <c r="A34" s="88">
        <v>33</v>
      </c>
      <c r="B34" s="89" t="s">
        <v>122</v>
      </c>
      <c r="C34" s="89">
        <v>14</v>
      </c>
      <c r="D34" s="89">
        <v>9</v>
      </c>
      <c r="E34" s="89" t="str">
        <f t="shared" si="0"/>
        <v>Bus14</v>
      </c>
      <c r="F34" s="89" t="str">
        <f t="shared" si="1"/>
        <v>Bus9</v>
      </c>
      <c r="G34" s="89">
        <v>1</v>
      </c>
      <c r="H34" s="89">
        <v>0</v>
      </c>
      <c r="I34" s="116">
        <v>0.000100862410036125</v>
      </c>
      <c r="J34" s="116">
        <v>0.00162753723078371</v>
      </c>
      <c r="K34" s="116">
        <v>2.78432</v>
      </c>
      <c r="L34" s="89">
        <v>500</v>
      </c>
      <c r="M34" s="117">
        <v>9397.5</v>
      </c>
      <c r="N34" s="118">
        <v>86.4</v>
      </c>
      <c r="O34" s="89">
        <v>5</v>
      </c>
      <c r="P34" s="119">
        <v>0</v>
      </c>
      <c r="Q34" s="90" t="s">
        <v>90</v>
      </c>
    </row>
    <row r="35" spans="1:17">
      <c r="A35" s="88">
        <v>34</v>
      </c>
      <c r="B35" s="89" t="s">
        <v>123</v>
      </c>
      <c r="C35" s="89">
        <v>11</v>
      </c>
      <c r="D35" s="89">
        <v>16</v>
      </c>
      <c r="E35" s="89" t="str">
        <f t="shared" si="0"/>
        <v>Bus11</v>
      </c>
      <c r="F35" s="89" t="str">
        <f t="shared" si="1"/>
        <v>Bus16</v>
      </c>
      <c r="G35" s="89">
        <v>1</v>
      </c>
      <c r="H35" s="89">
        <v>0</v>
      </c>
      <c r="I35" s="116">
        <v>0.000357062937062937</v>
      </c>
      <c r="J35" s="116">
        <v>0.00528740425531915</v>
      </c>
      <c r="K35" s="116">
        <v>1.24819</v>
      </c>
      <c r="L35" s="89">
        <v>500</v>
      </c>
      <c r="M35" s="117">
        <v>3045</v>
      </c>
      <c r="N35" s="118">
        <v>103</v>
      </c>
      <c r="O35" s="89">
        <v>2</v>
      </c>
      <c r="P35" s="119">
        <v>0</v>
      </c>
      <c r="Q35" s="90" t="s">
        <v>90</v>
      </c>
    </row>
    <row r="36" spans="1:17">
      <c r="A36" s="88">
        <v>35</v>
      </c>
      <c r="B36" s="89" t="s">
        <v>124</v>
      </c>
      <c r="C36" s="89">
        <v>13</v>
      </c>
      <c r="D36" s="89">
        <v>9</v>
      </c>
      <c r="E36" s="89" t="str">
        <f t="shared" si="0"/>
        <v>Bus13</v>
      </c>
      <c r="F36" s="89" t="str">
        <f t="shared" si="1"/>
        <v>Bus9</v>
      </c>
      <c r="G36" s="89">
        <v>1</v>
      </c>
      <c r="H36" s="89">
        <v>0</v>
      </c>
      <c r="I36" s="116">
        <v>0.000313503459758793</v>
      </c>
      <c r="J36" s="116">
        <v>0.00416952302538632</v>
      </c>
      <c r="K36" s="116">
        <v>2.13323</v>
      </c>
      <c r="L36" s="89">
        <v>500</v>
      </c>
      <c r="M36" s="117">
        <v>3764.25</v>
      </c>
      <c r="N36" s="118">
        <v>125.666666666667</v>
      </c>
      <c r="O36" s="89">
        <v>3</v>
      </c>
      <c r="P36" s="119">
        <v>0</v>
      </c>
      <c r="Q36" s="90" t="s">
        <v>90</v>
      </c>
    </row>
    <row r="37" spans="1:17">
      <c r="A37" s="88">
        <v>36</v>
      </c>
      <c r="B37" s="89" t="s">
        <v>125</v>
      </c>
      <c r="C37" s="89">
        <v>18</v>
      </c>
      <c r="D37" s="89">
        <v>21</v>
      </c>
      <c r="E37" s="89" t="str">
        <f t="shared" si="0"/>
        <v>Bus18</v>
      </c>
      <c r="F37" s="89" t="str">
        <f t="shared" si="1"/>
        <v>Bus21</v>
      </c>
      <c r="G37" s="89">
        <v>1</v>
      </c>
      <c r="H37" s="89">
        <v>0</v>
      </c>
      <c r="I37" s="116">
        <v>0.000190012544821858</v>
      </c>
      <c r="J37" s="116">
        <v>0.00276231760489273</v>
      </c>
      <c r="K37" s="116">
        <v>0.6819</v>
      </c>
      <c r="L37" s="89">
        <v>500</v>
      </c>
      <c r="M37" s="117">
        <v>3099.6</v>
      </c>
      <c r="N37" s="118">
        <v>55.75</v>
      </c>
      <c r="O37" s="89">
        <v>2</v>
      </c>
      <c r="P37" s="119">
        <v>0</v>
      </c>
      <c r="Q37" s="90" t="s">
        <v>90</v>
      </c>
    </row>
    <row r="38" spans="1:17">
      <c r="A38" s="88">
        <v>37</v>
      </c>
      <c r="B38" s="89" t="s">
        <v>126</v>
      </c>
      <c r="C38" s="89">
        <v>19</v>
      </c>
      <c r="D38" s="89">
        <v>20</v>
      </c>
      <c r="E38" s="89" t="str">
        <f t="shared" si="0"/>
        <v>Bus19</v>
      </c>
      <c r="F38" s="89" t="str">
        <f t="shared" si="1"/>
        <v>Bus20</v>
      </c>
      <c r="G38" s="89">
        <v>1</v>
      </c>
      <c r="H38" s="89">
        <v>0</v>
      </c>
      <c r="I38" s="116">
        <v>1.90080102411747e-5</v>
      </c>
      <c r="J38" s="116">
        <v>0.000672777777777778</v>
      </c>
      <c r="K38" s="116">
        <v>1.43933</v>
      </c>
      <c r="L38" s="89">
        <v>500</v>
      </c>
      <c r="M38" s="117">
        <v>10613.4</v>
      </c>
      <c r="N38" s="118">
        <v>40.3666666666667</v>
      </c>
      <c r="O38" s="89">
        <v>6</v>
      </c>
      <c r="P38" s="119">
        <v>0</v>
      </c>
      <c r="Q38" s="90" t="s">
        <v>90</v>
      </c>
    </row>
    <row r="39" spans="1:17">
      <c r="A39" s="88">
        <v>38</v>
      </c>
      <c r="B39" s="89" t="s">
        <v>127</v>
      </c>
      <c r="C39" s="89">
        <v>20</v>
      </c>
      <c r="D39" s="89">
        <v>22</v>
      </c>
      <c r="E39" s="89" t="str">
        <f t="shared" si="0"/>
        <v>Bus20</v>
      </c>
      <c r="F39" s="89" t="str">
        <f t="shared" si="1"/>
        <v>Bus22</v>
      </c>
      <c r="G39" s="89">
        <v>1</v>
      </c>
      <c r="H39" s="89">
        <v>0</v>
      </c>
      <c r="I39" s="116">
        <v>3.09898468380567e-5</v>
      </c>
      <c r="J39" s="116">
        <v>0.000668592797969523</v>
      </c>
      <c r="K39" s="116">
        <v>1.97252</v>
      </c>
      <c r="L39" s="89">
        <v>500</v>
      </c>
      <c r="M39" s="117">
        <v>10658.55</v>
      </c>
      <c r="N39" s="118">
        <v>44.1666666666667</v>
      </c>
      <c r="O39" s="89">
        <v>6</v>
      </c>
      <c r="P39" s="119">
        <v>0</v>
      </c>
      <c r="Q39" s="90" t="s">
        <v>90</v>
      </c>
    </row>
    <row r="40" spans="1:17">
      <c r="A40" s="88">
        <v>39</v>
      </c>
      <c r="B40" s="89" t="s">
        <v>128</v>
      </c>
      <c r="C40" s="89">
        <v>18</v>
      </c>
      <c r="D40" s="89">
        <v>19</v>
      </c>
      <c r="E40" s="89" t="str">
        <f t="shared" si="0"/>
        <v>Bus18</v>
      </c>
      <c r="F40" s="89" t="str">
        <f t="shared" si="1"/>
        <v>Bus19</v>
      </c>
      <c r="G40" s="89">
        <v>1</v>
      </c>
      <c r="H40" s="89">
        <v>0</v>
      </c>
      <c r="I40" s="116">
        <v>3.85519687297833e-5</v>
      </c>
      <c r="J40" s="116">
        <v>0.000751491019243741</v>
      </c>
      <c r="K40" s="116">
        <v>0.87485</v>
      </c>
      <c r="L40" s="89">
        <v>500</v>
      </c>
      <c r="M40" s="117">
        <v>7509.6</v>
      </c>
      <c r="N40" s="118">
        <v>35.75</v>
      </c>
      <c r="O40" s="89">
        <v>4</v>
      </c>
      <c r="P40" s="119">
        <v>0</v>
      </c>
      <c r="Q40" s="90" t="s">
        <v>90</v>
      </c>
    </row>
    <row r="41" spans="1:17">
      <c r="A41" s="88">
        <v>40</v>
      </c>
      <c r="B41" s="89" t="s">
        <v>129</v>
      </c>
      <c r="C41" s="89">
        <v>24</v>
      </c>
      <c r="D41" s="89">
        <v>25</v>
      </c>
      <c r="E41" s="89" t="str">
        <f t="shared" si="0"/>
        <v>Bus24</v>
      </c>
      <c r="F41" s="89" t="str">
        <f t="shared" si="1"/>
        <v>Bus25</v>
      </c>
      <c r="G41" s="89">
        <v>1</v>
      </c>
      <c r="H41" s="89">
        <v>0</v>
      </c>
      <c r="I41" s="116">
        <v>9.97112778109886e-5</v>
      </c>
      <c r="J41" s="116">
        <v>0.0010003342259434</v>
      </c>
      <c r="K41" s="116">
        <v>0.945</v>
      </c>
      <c r="L41" s="89">
        <v>500</v>
      </c>
      <c r="M41" s="117">
        <v>4040.925</v>
      </c>
      <c r="N41" s="118">
        <v>47.25</v>
      </c>
      <c r="O41" s="89">
        <v>4</v>
      </c>
      <c r="P41" s="119">
        <v>0</v>
      </c>
      <c r="Q41" s="90" t="s">
        <v>90</v>
      </c>
    </row>
    <row r="42" spans="1:17">
      <c r="A42" s="88">
        <v>41</v>
      </c>
      <c r="B42" s="89" t="s">
        <v>130</v>
      </c>
      <c r="C42" s="89">
        <v>19</v>
      </c>
      <c r="D42" s="89">
        <v>25</v>
      </c>
      <c r="E42" s="89" t="str">
        <f t="shared" si="0"/>
        <v>Bus19</v>
      </c>
      <c r="F42" s="89" t="str">
        <f t="shared" si="1"/>
        <v>Bus25</v>
      </c>
      <c r="G42" s="89">
        <v>1</v>
      </c>
      <c r="H42" s="89">
        <v>0</v>
      </c>
      <c r="I42" s="116">
        <v>5.81471373680205e-5</v>
      </c>
      <c r="J42" s="116">
        <v>0.00106547829449238</v>
      </c>
      <c r="K42" s="116">
        <v>1.22824</v>
      </c>
      <c r="L42" s="89">
        <v>500</v>
      </c>
      <c r="M42" s="117">
        <v>7320.6</v>
      </c>
      <c r="N42" s="118">
        <v>49.625</v>
      </c>
      <c r="O42" s="89">
        <v>4</v>
      </c>
      <c r="P42" s="119">
        <v>0</v>
      </c>
      <c r="Q42" s="90" t="s">
        <v>90</v>
      </c>
    </row>
    <row r="43" spans="1:17">
      <c r="A43" s="88">
        <v>42</v>
      </c>
      <c r="B43" s="89" t="s">
        <v>131</v>
      </c>
      <c r="C43" s="89">
        <v>28</v>
      </c>
      <c r="D43" s="89">
        <v>18</v>
      </c>
      <c r="E43" s="89" t="str">
        <f t="shared" si="0"/>
        <v>Bus28</v>
      </c>
      <c r="F43" s="89" t="str">
        <f t="shared" si="1"/>
        <v>Bus18</v>
      </c>
      <c r="G43" s="89">
        <v>1</v>
      </c>
      <c r="H43" s="89">
        <v>0</v>
      </c>
      <c r="I43" s="116">
        <v>0.000329924242424242</v>
      </c>
      <c r="J43" s="116">
        <v>0.00607249897076986</v>
      </c>
      <c r="K43" s="116">
        <v>1.58287</v>
      </c>
      <c r="L43" s="89">
        <v>500</v>
      </c>
      <c r="M43" s="117">
        <v>3309.6</v>
      </c>
      <c r="N43" s="118">
        <v>125</v>
      </c>
      <c r="O43" s="89">
        <v>2</v>
      </c>
      <c r="P43" s="119">
        <v>0</v>
      </c>
      <c r="Q43" s="90" t="s">
        <v>90</v>
      </c>
    </row>
    <row r="44" spans="1:17">
      <c r="A44" s="88">
        <v>43</v>
      </c>
      <c r="B44" s="89" t="s">
        <v>132</v>
      </c>
      <c r="C44" s="89">
        <v>26</v>
      </c>
      <c r="D44" s="89">
        <v>22</v>
      </c>
      <c r="E44" s="89" t="str">
        <f t="shared" si="0"/>
        <v>Bus26</v>
      </c>
      <c r="F44" s="89" t="str">
        <f t="shared" si="1"/>
        <v>Bus22</v>
      </c>
      <c r="G44" s="89">
        <v>1</v>
      </c>
      <c r="H44" s="89">
        <v>0</v>
      </c>
      <c r="I44" s="116">
        <v>0.00012</v>
      </c>
      <c r="J44" s="116">
        <v>0.00147</v>
      </c>
      <c r="K44" s="116">
        <v>0.38446</v>
      </c>
      <c r="L44" s="89">
        <v>500</v>
      </c>
      <c r="M44" s="117">
        <v>2486.4</v>
      </c>
      <c r="N44" s="118">
        <v>30.2</v>
      </c>
      <c r="O44" s="89">
        <v>2</v>
      </c>
      <c r="P44" s="119">
        <v>0</v>
      </c>
      <c r="Q44" s="90" t="s">
        <v>90</v>
      </c>
    </row>
    <row r="45" spans="1:17">
      <c r="A45" s="88">
        <v>44</v>
      </c>
      <c r="B45" s="89" t="s">
        <v>133</v>
      </c>
      <c r="C45" s="89">
        <v>25</v>
      </c>
      <c r="D45" s="89">
        <v>28</v>
      </c>
      <c r="E45" s="89" t="str">
        <f t="shared" si="0"/>
        <v>Bus25</v>
      </c>
      <c r="F45" s="89" t="str">
        <f t="shared" si="1"/>
        <v>Bus28</v>
      </c>
      <c r="G45" s="89">
        <v>1</v>
      </c>
      <c r="H45" s="89">
        <v>0</v>
      </c>
      <c r="I45" s="116">
        <v>0.000142105263157895</v>
      </c>
      <c r="J45" s="116">
        <v>0.00305641864268193</v>
      </c>
      <c r="K45" s="116">
        <v>0.77585</v>
      </c>
      <c r="L45" s="89">
        <v>500</v>
      </c>
      <c r="M45" s="117">
        <v>3309.6</v>
      </c>
      <c r="N45" s="118">
        <v>63.05</v>
      </c>
      <c r="O45" s="89">
        <v>2</v>
      </c>
      <c r="P45" s="119">
        <v>0</v>
      </c>
      <c r="Q45" s="90" t="s">
        <v>90</v>
      </c>
    </row>
    <row r="46" spans="1:17">
      <c r="A46" s="88">
        <v>45</v>
      </c>
      <c r="B46" s="89" t="s">
        <v>134</v>
      </c>
      <c r="C46" s="89">
        <v>21</v>
      </c>
      <c r="D46" s="89">
        <v>27</v>
      </c>
      <c r="E46" s="89" t="str">
        <f t="shared" si="0"/>
        <v>Bus21</v>
      </c>
      <c r="F46" s="89" t="str">
        <f t="shared" si="1"/>
        <v>Bus27</v>
      </c>
      <c r="G46" s="89">
        <v>1</v>
      </c>
      <c r="H46" s="89">
        <v>0</v>
      </c>
      <c r="I46" s="116">
        <v>0.000285</v>
      </c>
      <c r="J46" s="116">
        <v>0.006485</v>
      </c>
      <c r="K46" s="116">
        <v>1.50058</v>
      </c>
      <c r="L46" s="89">
        <v>500</v>
      </c>
      <c r="M46" s="117">
        <v>3139.5</v>
      </c>
      <c r="N46" s="118">
        <v>130</v>
      </c>
      <c r="O46" s="89">
        <v>2</v>
      </c>
      <c r="P46" s="119">
        <v>0</v>
      </c>
      <c r="Q46" s="90" t="s">
        <v>90</v>
      </c>
    </row>
    <row r="47" spans="1:17">
      <c r="A47" s="88">
        <v>46</v>
      </c>
      <c r="B47" s="89" t="s">
        <v>135</v>
      </c>
      <c r="C47" s="89">
        <v>28</v>
      </c>
      <c r="D47" s="89">
        <v>23</v>
      </c>
      <c r="E47" s="89" t="str">
        <f t="shared" si="0"/>
        <v>Bus28</v>
      </c>
      <c r="F47" s="89" t="str">
        <f t="shared" si="1"/>
        <v>Bus23</v>
      </c>
      <c r="G47" s="89">
        <v>1</v>
      </c>
      <c r="H47" s="89">
        <v>0</v>
      </c>
      <c r="I47" s="116">
        <v>8.41541009930389e-5</v>
      </c>
      <c r="J47" s="116">
        <v>0.00146649770375761</v>
      </c>
      <c r="K47" s="116">
        <v>1.55828</v>
      </c>
      <c r="L47" s="89">
        <v>500</v>
      </c>
      <c r="M47" s="117">
        <v>6409.2</v>
      </c>
      <c r="N47" s="118">
        <v>63.15</v>
      </c>
      <c r="O47" s="89">
        <v>4</v>
      </c>
      <c r="P47" s="119">
        <v>0</v>
      </c>
      <c r="Q47" s="90" t="s">
        <v>90</v>
      </c>
    </row>
    <row r="48" spans="1:17">
      <c r="A48" s="88">
        <v>47</v>
      </c>
      <c r="B48" s="89" t="s">
        <v>136</v>
      </c>
      <c r="C48" s="89">
        <v>27</v>
      </c>
      <c r="D48" s="89">
        <v>18</v>
      </c>
      <c r="E48" s="89" t="str">
        <f t="shared" si="0"/>
        <v>Bus27</v>
      </c>
      <c r="F48" s="89" t="str">
        <f t="shared" si="1"/>
        <v>Bus18</v>
      </c>
      <c r="G48" s="89">
        <v>1</v>
      </c>
      <c r="H48" s="89">
        <v>0</v>
      </c>
      <c r="I48" s="116">
        <v>0.000120373032987721</v>
      </c>
      <c r="J48" s="116">
        <v>0.00186607250126169</v>
      </c>
      <c r="K48" s="116">
        <v>1.96258</v>
      </c>
      <c r="L48" s="89">
        <v>500</v>
      </c>
      <c r="M48" s="117">
        <v>7270.2</v>
      </c>
      <c r="N48" s="118">
        <v>78.8</v>
      </c>
      <c r="O48" s="89">
        <v>4</v>
      </c>
      <c r="P48" s="119">
        <v>0</v>
      </c>
      <c r="Q48" s="90" t="s">
        <v>90</v>
      </c>
    </row>
    <row r="49" spans="1:17">
      <c r="A49" s="88">
        <v>48</v>
      </c>
      <c r="B49" s="89" t="s">
        <v>137</v>
      </c>
      <c r="C49" s="89">
        <v>20</v>
      </c>
      <c r="D49" s="89">
        <v>18</v>
      </c>
      <c r="E49" s="89" t="str">
        <f t="shared" si="0"/>
        <v>Bus20</v>
      </c>
      <c r="F49" s="89" t="str">
        <f t="shared" si="1"/>
        <v>Bus18</v>
      </c>
      <c r="G49" s="89">
        <v>1</v>
      </c>
      <c r="H49" s="89">
        <v>0</v>
      </c>
      <c r="I49" s="116">
        <v>0.0001</v>
      </c>
      <c r="J49" s="116">
        <v>0.002315</v>
      </c>
      <c r="K49" s="116">
        <v>0.53592</v>
      </c>
      <c r="L49" s="89">
        <v>500</v>
      </c>
      <c r="M49" s="117">
        <v>3309.6</v>
      </c>
      <c r="N49" s="118">
        <v>46.5</v>
      </c>
      <c r="O49" s="89">
        <v>2</v>
      </c>
      <c r="P49" s="119">
        <v>0</v>
      </c>
      <c r="Q49" s="90" t="s">
        <v>90</v>
      </c>
    </row>
    <row r="50" spans="1:17">
      <c r="A50" s="88">
        <v>49</v>
      </c>
      <c r="B50" s="89" t="s">
        <v>138</v>
      </c>
      <c r="C50" s="89">
        <v>26</v>
      </c>
      <c r="D50" s="89">
        <v>20</v>
      </c>
      <c r="E50" s="89" t="str">
        <f t="shared" si="0"/>
        <v>Bus26</v>
      </c>
      <c r="F50" s="89" t="str">
        <f t="shared" si="1"/>
        <v>Bus20</v>
      </c>
      <c r="G50" s="89">
        <v>1</v>
      </c>
      <c r="H50" s="89">
        <v>0</v>
      </c>
      <c r="I50" s="116">
        <v>8.5e-5</v>
      </c>
      <c r="J50" s="116">
        <v>0.00183</v>
      </c>
      <c r="K50" s="116">
        <v>0.55622</v>
      </c>
      <c r="L50" s="89">
        <v>500</v>
      </c>
      <c r="M50" s="117">
        <v>3910.2</v>
      </c>
      <c r="N50" s="118">
        <v>42.4</v>
      </c>
      <c r="O50" s="89">
        <v>2</v>
      </c>
      <c r="P50" s="119">
        <v>0</v>
      </c>
      <c r="Q50" s="90" t="s">
        <v>90</v>
      </c>
    </row>
    <row r="51" spans="1:17">
      <c r="A51" s="88">
        <v>50</v>
      </c>
      <c r="B51" s="89" t="s">
        <v>139</v>
      </c>
      <c r="C51" s="89">
        <v>21</v>
      </c>
      <c r="D51" s="89">
        <v>23</v>
      </c>
      <c r="E51" s="89" t="str">
        <f t="shared" si="0"/>
        <v>Bus21</v>
      </c>
      <c r="F51" s="89" t="str">
        <f t="shared" si="1"/>
        <v>Bus23</v>
      </c>
      <c r="G51" s="89">
        <v>1</v>
      </c>
      <c r="H51" s="89">
        <v>0</v>
      </c>
      <c r="I51" s="116">
        <v>0.000174428571428571</v>
      </c>
      <c r="J51" s="116">
        <v>0.00352749822820695</v>
      </c>
      <c r="K51" s="116">
        <v>0.92331</v>
      </c>
      <c r="L51" s="89">
        <v>500</v>
      </c>
      <c r="M51" s="117">
        <v>4200</v>
      </c>
      <c r="N51" s="118">
        <v>72.5</v>
      </c>
      <c r="O51" s="89">
        <v>2</v>
      </c>
      <c r="P51" s="119">
        <v>0</v>
      </c>
      <c r="Q51" s="90" t="s">
        <v>90</v>
      </c>
    </row>
    <row r="52" spans="1:17">
      <c r="A52" s="88">
        <v>51</v>
      </c>
      <c r="B52" s="89" t="s">
        <v>140</v>
      </c>
      <c r="C52" s="89">
        <v>32</v>
      </c>
      <c r="D52" s="89">
        <v>30</v>
      </c>
      <c r="E52" s="89" t="str">
        <f t="shared" si="0"/>
        <v>Bus32</v>
      </c>
      <c r="F52" s="89" t="str">
        <f t="shared" si="1"/>
        <v>Bus30</v>
      </c>
      <c r="G52" s="89">
        <v>1</v>
      </c>
      <c r="H52" s="89">
        <v>0</v>
      </c>
      <c r="I52" s="116">
        <v>0.000118033427580262</v>
      </c>
      <c r="J52" s="116">
        <v>0.00142993422901681</v>
      </c>
      <c r="K52" s="116">
        <v>1.51077</v>
      </c>
      <c r="L52" s="89">
        <v>500</v>
      </c>
      <c r="M52" s="117">
        <v>6189.75</v>
      </c>
      <c r="N52" s="118">
        <v>60.45</v>
      </c>
      <c r="O52" s="89">
        <v>4</v>
      </c>
      <c r="P52" s="119">
        <v>0</v>
      </c>
      <c r="Q52" s="90" t="s">
        <v>90</v>
      </c>
    </row>
    <row r="53" spans="1:17">
      <c r="A53" s="88">
        <v>52</v>
      </c>
      <c r="B53" s="89" t="s">
        <v>141</v>
      </c>
      <c r="C53" s="89">
        <v>31</v>
      </c>
      <c r="D53" s="89">
        <v>29</v>
      </c>
      <c r="E53" s="89" t="str">
        <f t="shared" si="0"/>
        <v>Bus31</v>
      </c>
      <c r="F53" s="89" t="str">
        <f t="shared" si="1"/>
        <v>Bus29</v>
      </c>
      <c r="G53" s="89">
        <v>1</v>
      </c>
      <c r="H53" s="89">
        <v>0</v>
      </c>
      <c r="I53" s="116">
        <v>5.40218712029162e-5</v>
      </c>
      <c r="J53" s="116">
        <v>0.000936377561791206</v>
      </c>
      <c r="K53" s="116">
        <v>0.54123</v>
      </c>
      <c r="L53" s="89">
        <v>500</v>
      </c>
      <c r="M53" s="117">
        <v>6063.75</v>
      </c>
      <c r="N53" s="118">
        <v>29.3333333333333</v>
      </c>
      <c r="O53" s="89">
        <v>3</v>
      </c>
      <c r="P53" s="119">
        <v>0</v>
      </c>
      <c r="Q53" s="90" t="s">
        <v>90</v>
      </c>
    </row>
    <row r="54" spans="1:17">
      <c r="A54" s="88">
        <v>53</v>
      </c>
      <c r="B54" s="89" t="s">
        <v>142</v>
      </c>
      <c r="C54" s="89">
        <v>31</v>
      </c>
      <c r="D54" s="89">
        <v>36</v>
      </c>
      <c r="E54" s="89" t="str">
        <f t="shared" si="0"/>
        <v>Bus31</v>
      </c>
      <c r="F54" s="89" t="str">
        <f t="shared" si="1"/>
        <v>Bus36</v>
      </c>
      <c r="G54" s="89">
        <v>1</v>
      </c>
      <c r="H54" s="89">
        <v>0</v>
      </c>
      <c r="I54" s="116">
        <v>0.00041</v>
      </c>
      <c r="J54" s="116">
        <v>0.00678</v>
      </c>
      <c r="K54" s="116">
        <v>0.51673</v>
      </c>
      <c r="L54" s="89">
        <v>500</v>
      </c>
      <c r="M54" s="117">
        <v>2100</v>
      </c>
      <c r="N54" s="118">
        <v>70.3</v>
      </c>
      <c r="O54" s="89">
        <v>1</v>
      </c>
      <c r="P54" s="119">
        <v>0</v>
      </c>
      <c r="Q54" s="90" t="s">
        <v>90</v>
      </c>
    </row>
    <row r="55" spans="1:17">
      <c r="A55" s="88">
        <v>54</v>
      </c>
      <c r="B55" s="89" t="s">
        <v>143</v>
      </c>
      <c r="C55" s="89">
        <v>29</v>
      </c>
      <c r="D55" s="89">
        <v>30</v>
      </c>
      <c r="E55" s="89" t="str">
        <f t="shared" si="0"/>
        <v>Bus29</v>
      </c>
      <c r="F55" s="89" t="str">
        <f t="shared" si="1"/>
        <v>Bus30</v>
      </c>
      <c r="G55" s="89">
        <v>1</v>
      </c>
      <c r="H55" s="89">
        <v>0</v>
      </c>
      <c r="I55" s="116">
        <v>3.82940230129257e-5</v>
      </c>
      <c r="J55" s="116">
        <v>0.00102244897959184</v>
      </c>
      <c r="K55" s="116">
        <v>3.02633</v>
      </c>
      <c r="L55" s="89">
        <v>500</v>
      </c>
      <c r="M55" s="117">
        <v>16592.1</v>
      </c>
      <c r="N55" s="118">
        <v>71.5714285714286</v>
      </c>
      <c r="O55" s="89">
        <v>7</v>
      </c>
      <c r="P55" s="119">
        <v>0</v>
      </c>
      <c r="Q55" s="90" t="s">
        <v>90</v>
      </c>
    </row>
    <row r="56" spans="1:17">
      <c r="A56" s="88">
        <v>55</v>
      </c>
      <c r="B56" s="89" t="s">
        <v>144</v>
      </c>
      <c r="C56" s="89">
        <v>34</v>
      </c>
      <c r="D56" s="89">
        <v>30</v>
      </c>
      <c r="E56" s="89" t="str">
        <f t="shared" si="0"/>
        <v>Bus34</v>
      </c>
      <c r="F56" s="89" t="str">
        <f t="shared" si="1"/>
        <v>Bus30</v>
      </c>
      <c r="G56" s="89">
        <v>1</v>
      </c>
      <c r="H56" s="89">
        <v>0</v>
      </c>
      <c r="I56" s="116">
        <v>0.000178054283389333</v>
      </c>
      <c r="J56" s="116">
        <v>0.00175324795665106</v>
      </c>
      <c r="K56" s="116">
        <v>0.48936</v>
      </c>
      <c r="L56" s="89">
        <v>500</v>
      </c>
      <c r="M56" s="117">
        <v>3354.75</v>
      </c>
      <c r="N56" s="118">
        <v>41</v>
      </c>
      <c r="O56" s="89">
        <v>2</v>
      </c>
      <c r="P56" s="119">
        <v>0</v>
      </c>
      <c r="Q56" s="90" t="s">
        <v>90</v>
      </c>
    </row>
    <row r="57" spans="1:17">
      <c r="A57" s="88">
        <v>56</v>
      </c>
      <c r="B57" s="89" t="s">
        <v>145</v>
      </c>
      <c r="C57" s="89">
        <v>34</v>
      </c>
      <c r="D57" s="89">
        <v>29</v>
      </c>
      <c r="E57" s="89" t="str">
        <f t="shared" si="0"/>
        <v>Bus34</v>
      </c>
      <c r="F57" s="89" t="str">
        <f t="shared" si="1"/>
        <v>Bus29</v>
      </c>
      <c r="G57" s="89">
        <v>1</v>
      </c>
      <c r="H57" s="89">
        <v>0</v>
      </c>
      <c r="I57" s="116">
        <v>7.86011431874264e-5</v>
      </c>
      <c r="J57" s="116">
        <v>0.00157121632980564</v>
      </c>
      <c r="K57" s="116">
        <v>0.8985</v>
      </c>
      <c r="L57" s="89">
        <v>500</v>
      </c>
      <c r="M57" s="117">
        <v>5612.25</v>
      </c>
      <c r="N57" s="118">
        <v>50</v>
      </c>
      <c r="O57" s="89">
        <v>3</v>
      </c>
      <c r="P57" s="119">
        <v>0</v>
      </c>
      <c r="Q57" s="90" t="s">
        <v>90</v>
      </c>
    </row>
    <row r="58" spans="1:17">
      <c r="A58" s="88">
        <v>57</v>
      </c>
      <c r="B58" s="89" t="s">
        <v>146</v>
      </c>
      <c r="C58" s="89">
        <v>32</v>
      </c>
      <c r="D58" s="89">
        <v>35</v>
      </c>
      <c r="E58" s="89" t="str">
        <f t="shared" si="0"/>
        <v>Bus32</v>
      </c>
      <c r="F58" s="89" t="str">
        <f t="shared" si="1"/>
        <v>Bus35</v>
      </c>
      <c r="G58" s="89">
        <v>1</v>
      </c>
      <c r="H58" s="89">
        <v>0</v>
      </c>
      <c r="I58" s="116">
        <v>0.000127818584809065</v>
      </c>
      <c r="J58" s="116">
        <v>0.00177465052372486</v>
      </c>
      <c r="K58" s="116">
        <v>3.69627</v>
      </c>
      <c r="L58" s="89">
        <v>500</v>
      </c>
      <c r="M58" s="117">
        <v>15332.1</v>
      </c>
      <c r="N58" s="118">
        <v>106.466666666667</v>
      </c>
      <c r="O58" s="89">
        <v>6</v>
      </c>
      <c r="P58" s="119">
        <v>0</v>
      </c>
      <c r="Q58" s="90" t="s">
        <v>90</v>
      </c>
    </row>
    <row r="59" spans="1:17">
      <c r="A59" s="88">
        <v>58</v>
      </c>
      <c r="B59" s="89" t="s">
        <v>147</v>
      </c>
      <c r="C59" s="89">
        <v>30</v>
      </c>
      <c r="D59" s="89">
        <v>31</v>
      </c>
      <c r="E59" s="89" t="str">
        <f t="shared" si="0"/>
        <v>Bus30</v>
      </c>
      <c r="F59" s="89" t="str">
        <f t="shared" si="1"/>
        <v>Bus31</v>
      </c>
      <c r="G59" s="89">
        <v>1</v>
      </c>
      <c r="H59" s="89">
        <v>0</v>
      </c>
      <c r="I59" s="116">
        <v>0.000347338129496403</v>
      </c>
      <c r="J59" s="116">
        <v>0.00629745136959111</v>
      </c>
      <c r="K59" s="116">
        <v>1.60651</v>
      </c>
      <c r="L59" s="89">
        <v>500</v>
      </c>
      <c r="M59" s="117">
        <v>3139.5</v>
      </c>
      <c r="N59" s="118">
        <v>129</v>
      </c>
      <c r="O59" s="89">
        <v>2</v>
      </c>
      <c r="P59" s="119">
        <v>0</v>
      </c>
      <c r="Q59" s="90" t="s">
        <v>90</v>
      </c>
    </row>
    <row r="60" spans="1:17">
      <c r="A60" s="88">
        <v>59</v>
      </c>
      <c r="B60" s="89" t="s">
        <v>148</v>
      </c>
      <c r="C60" s="89">
        <v>30</v>
      </c>
      <c r="D60" s="89">
        <v>36</v>
      </c>
      <c r="E60" s="89" t="str">
        <f t="shared" si="0"/>
        <v>Bus30</v>
      </c>
      <c r="F60" s="89" t="str">
        <f t="shared" si="1"/>
        <v>Bus36</v>
      </c>
      <c r="G60" s="89">
        <v>1</v>
      </c>
      <c r="H60" s="89">
        <v>0</v>
      </c>
      <c r="I60" s="116">
        <v>0.000614959349593496</v>
      </c>
      <c r="J60" s="116">
        <v>0.00697496774193548</v>
      </c>
      <c r="K60" s="116">
        <v>1.64382</v>
      </c>
      <c r="L60" s="89">
        <v>500</v>
      </c>
      <c r="M60" s="117">
        <v>3016.65</v>
      </c>
      <c r="N60" s="118">
        <v>136</v>
      </c>
      <c r="O60" s="89">
        <v>2</v>
      </c>
      <c r="P60" s="119">
        <v>0</v>
      </c>
      <c r="Q60" s="90" t="s">
        <v>90</v>
      </c>
    </row>
    <row r="61" spans="1:17">
      <c r="A61" s="88">
        <v>60</v>
      </c>
      <c r="B61" s="89" t="s">
        <v>149</v>
      </c>
      <c r="C61" s="89">
        <v>33</v>
      </c>
      <c r="D61" s="89">
        <v>35</v>
      </c>
      <c r="E61" s="89" t="str">
        <f t="shared" si="0"/>
        <v>Bus33</v>
      </c>
      <c r="F61" s="89" t="str">
        <f t="shared" si="1"/>
        <v>Bus35</v>
      </c>
      <c r="G61" s="89">
        <v>1</v>
      </c>
      <c r="H61" s="89">
        <v>0</v>
      </c>
      <c r="I61" s="116">
        <v>7.76198487571083e-5</v>
      </c>
      <c r="J61" s="116">
        <v>0.00173</v>
      </c>
      <c r="K61" s="116">
        <v>0.96821</v>
      </c>
      <c r="L61" s="89">
        <v>500</v>
      </c>
      <c r="M61" s="117">
        <v>4662</v>
      </c>
      <c r="N61" s="118">
        <v>51.9</v>
      </c>
      <c r="O61" s="89">
        <v>3</v>
      </c>
      <c r="P61" s="119">
        <v>0</v>
      </c>
      <c r="Q61" s="90" t="s">
        <v>90</v>
      </c>
    </row>
    <row r="62" spans="1:17">
      <c r="A62" s="88">
        <v>61</v>
      </c>
      <c r="B62" s="89" t="s">
        <v>150</v>
      </c>
      <c r="C62" s="89">
        <v>30</v>
      </c>
      <c r="D62" s="89">
        <v>35</v>
      </c>
      <c r="E62" s="89" t="str">
        <f t="shared" si="0"/>
        <v>Bus30</v>
      </c>
      <c r="F62" s="89" t="str">
        <f t="shared" si="1"/>
        <v>Bus35</v>
      </c>
      <c r="G62" s="89">
        <v>1</v>
      </c>
      <c r="H62" s="89">
        <v>0</v>
      </c>
      <c r="I62" s="116">
        <v>8.50475383221244e-5</v>
      </c>
      <c r="J62" s="116">
        <v>0.00115988966955647</v>
      </c>
      <c r="K62" s="116">
        <v>4.57581</v>
      </c>
      <c r="L62" s="89">
        <v>500</v>
      </c>
      <c r="M62" s="117">
        <v>13071.45</v>
      </c>
      <c r="N62" s="118">
        <v>99.85</v>
      </c>
      <c r="O62" s="89">
        <v>8</v>
      </c>
      <c r="P62" s="119">
        <v>0</v>
      </c>
      <c r="Q62" s="90" t="s">
        <v>90</v>
      </c>
    </row>
    <row r="63" spans="1:17">
      <c r="A63" s="88">
        <v>62</v>
      </c>
      <c r="B63" s="89" t="s">
        <v>151</v>
      </c>
      <c r="C63" s="89">
        <v>33</v>
      </c>
      <c r="D63" s="89">
        <v>34</v>
      </c>
      <c r="E63" s="89" t="str">
        <f t="shared" si="0"/>
        <v>Bus33</v>
      </c>
      <c r="F63" s="89" t="str">
        <f t="shared" si="1"/>
        <v>Bus34</v>
      </c>
      <c r="G63" s="89">
        <v>1</v>
      </c>
      <c r="H63" s="89">
        <v>0</v>
      </c>
      <c r="I63" s="116">
        <v>0.000229565217391304</v>
      </c>
      <c r="J63" s="116">
        <v>0.00392497452229299</v>
      </c>
      <c r="K63" s="116">
        <v>0.99259</v>
      </c>
      <c r="L63" s="89">
        <v>500</v>
      </c>
      <c r="M63" s="117">
        <v>3360</v>
      </c>
      <c r="N63" s="118">
        <v>81.35</v>
      </c>
      <c r="O63" s="89">
        <v>2</v>
      </c>
      <c r="P63" s="119">
        <v>0</v>
      </c>
      <c r="Q63" s="90" t="s">
        <v>90</v>
      </c>
    </row>
    <row r="64" spans="1:17">
      <c r="A64" s="88">
        <v>63</v>
      </c>
      <c r="B64" s="89" t="s">
        <v>152</v>
      </c>
      <c r="C64" s="89">
        <v>39</v>
      </c>
      <c r="D64" s="89">
        <v>38</v>
      </c>
      <c r="E64" s="89" t="str">
        <f t="shared" si="0"/>
        <v>Bus39</v>
      </c>
      <c r="F64" s="89" t="str">
        <f t="shared" si="1"/>
        <v>Bus38</v>
      </c>
      <c r="G64" s="89">
        <v>1</v>
      </c>
      <c r="H64" s="89">
        <v>0</v>
      </c>
      <c r="I64" s="116">
        <v>4.14026380759227e-5</v>
      </c>
      <c r="J64" s="116">
        <v>0.000990408163265306</v>
      </c>
      <c r="K64" s="116">
        <v>2.95376</v>
      </c>
      <c r="L64" s="89">
        <v>500</v>
      </c>
      <c r="M64" s="117">
        <v>14491.575</v>
      </c>
      <c r="N64" s="118">
        <v>69.3285714285714</v>
      </c>
      <c r="O64" s="89">
        <v>7</v>
      </c>
      <c r="P64" s="119">
        <v>0</v>
      </c>
      <c r="Q64" s="90" t="s">
        <v>90</v>
      </c>
    </row>
    <row r="65" spans="1:21">
      <c r="A65" s="88">
        <v>64</v>
      </c>
      <c r="B65" s="89" t="s">
        <v>153</v>
      </c>
      <c r="C65" s="89">
        <v>37</v>
      </c>
      <c r="D65" s="89">
        <v>39</v>
      </c>
      <c r="E65" s="89" t="str">
        <f t="shared" si="0"/>
        <v>Bus37</v>
      </c>
      <c r="F65" s="89" t="str">
        <f t="shared" si="1"/>
        <v>Bus39</v>
      </c>
      <c r="G65" s="89">
        <v>1</v>
      </c>
      <c r="H65" s="89">
        <v>0</v>
      </c>
      <c r="I65" s="116">
        <v>5.1542315146453e-5</v>
      </c>
      <c r="J65" s="116">
        <v>0.000875069625034759</v>
      </c>
      <c r="K65" s="116">
        <v>2.11086</v>
      </c>
      <c r="L65" s="89">
        <v>500</v>
      </c>
      <c r="M65" s="117">
        <v>9076.2</v>
      </c>
      <c r="N65" s="118">
        <v>59.2333333333333</v>
      </c>
      <c r="O65" s="89">
        <v>6</v>
      </c>
      <c r="P65" s="119">
        <v>0</v>
      </c>
      <c r="Q65" s="90" t="s">
        <v>90</v>
      </c>
    </row>
    <row r="66" spans="1:21">
      <c r="A66" s="88">
        <v>65</v>
      </c>
      <c r="B66" s="89" t="s">
        <v>154</v>
      </c>
      <c r="C66" s="89">
        <v>38</v>
      </c>
      <c r="D66" s="89">
        <v>40</v>
      </c>
      <c r="E66" s="89" t="str">
        <f t="shared" si="0"/>
        <v>Bus38</v>
      </c>
      <c r="F66" s="89" t="str">
        <f t="shared" si="1"/>
        <v>Bus40</v>
      </c>
      <c r="G66" s="89">
        <v>1</v>
      </c>
      <c r="H66" s="89">
        <v>0</v>
      </c>
      <c r="I66" s="116">
        <v>0.000127442624947365</v>
      </c>
      <c r="J66" s="116">
        <v>0.00170179339713649</v>
      </c>
      <c r="K66" s="116">
        <v>3.693</v>
      </c>
      <c r="L66" s="89">
        <v>500</v>
      </c>
      <c r="M66" s="117">
        <v>9693.075</v>
      </c>
      <c r="N66" s="118">
        <v>123.1</v>
      </c>
      <c r="O66" s="89">
        <v>6</v>
      </c>
      <c r="P66" s="119">
        <v>0</v>
      </c>
      <c r="Q66" s="90" t="s">
        <v>90</v>
      </c>
    </row>
    <row r="67" ht="14.6" spans="1:21">
      <c r="A67" s="88">
        <v>66</v>
      </c>
      <c r="B67" s="89" t="s">
        <v>155</v>
      </c>
      <c r="C67" s="89">
        <v>37</v>
      </c>
      <c r="D67" s="89">
        <v>40</v>
      </c>
      <c r="E67" s="89" t="str">
        <f t="shared" ref="E67:F67" si="2">_xlfn.CONCAT("Bus",C67)</f>
        <v>Bus37</v>
      </c>
      <c r="F67" s="89" t="str">
        <f t="shared" si="2"/>
        <v>Bus40</v>
      </c>
      <c r="G67" s="89">
        <v>1</v>
      </c>
      <c r="H67" s="89">
        <v>0</v>
      </c>
      <c r="I67" s="116">
        <v>0.000395597484276729</v>
      </c>
      <c r="J67" s="116">
        <v>0.00518498071359691</v>
      </c>
      <c r="K67" s="116">
        <v>1.23803</v>
      </c>
      <c r="L67" s="89">
        <v>500</v>
      </c>
      <c r="M67" s="117">
        <v>2457</v>
      </c>
      <c r="N67" s="118">
        <v>104</v>
      </c>
      <c r="O67" s="89">
        <v>2</v>
      </c>
      <c r="P67" s="119">
        <v>0</v>
      </c>
      <c r="Q67" s="90" t="s">
        <v>90</v>
      </c>
    </row>
    <row r="68" spans="1:21">
      <c r="A68" s="85">
        <v>67</v>
      </c>
      <c r="B68" s="86" t="s">
        <v>156</v>
      </c>
      <c r="C68" s="86">
        <v>26</v>
      </c>
      <c r="D68" s="86">
        <v>2</v>
      </c>
      <c r="E68" s="86" t="s">
        <v>49</v>
      </c>
      <c r="F68" s="86" t="s">
        <v>23</v>
      </c>
      <c r="G68" s="86">
        <v>1</v>
      </c>
      <c r="H68" s="86">
        <v>0</v>
      </c>
      <c r="I68" s="112">
        <v>4.5e-5</v>
      </c>
      <c r="J68" s="112">
        <v>0.00189249669749009</v>
      </c>
      <c r="K68" s="112">
        <v>8.3559</v>
      </c>
      <c r="L68" s="86">
        <v>1000</v>
      </c>
      <c r="M68" s="113">
        <v>13200</v>
      </c>
      <c r="N68" s="120">
        <v>163</v>
      </c>
      <c r="O68" s="86">
        <v>2</v>
      </c>
      <c r="P68" s="115">
        <v>0</v>
      </c>
      <c r="Q68" s="87" t="s">
        <v>90</v>
      </c>
    </row>
    <row r="69" spans="1:21">
      <c r="A69" s="88">
        <v>68</v>
      </c>
      <c r="B69" s="89" t="s">
        <v>157</v>
      </c>
      <c r="C69" s="89">
        <v>29</v>
      </c>
      <c r="D69" s="89">
        <v>26</v>
      </c>
      <c r="E69" s="89" t="s">
        <v>52</v>
      </c>
      <c r="F69" s="89" t="s">
        <v>49</v>
      </c>
      <c r="G69" s="89">
        <v>1</v>
      </c>
      <c r="H69" s="89">
        <v>0</v>
      </c>
      <c r="I69" s="116">
        <v>5e-5</v>
      </c>
      <c r="J69" s="116">
        <v>0.00177</v>
      </c>
      <c r="K69" s="116">
        <v>7.7168</v>
      </c>
      <c r="L69" s="89">
        <v>1000</v>
      </c>
      <c r="M69" s="117">
        <v>13200</v>
      </c>
      <c r="N69" s="121">
        <v>153</v>
      </c>
      <c r="O69" s="89">
        <v>2</v>
      </c>
      <c r="P69" s="119">
        <v>0</v>
      </c>
      <c r="Q69" s="90" t="s">
        <v>90</v>
      </c>
    </row>
    <row r="70" spans="1:21">
      <c r="A70" s="88">
        <v>69</v>
      </c>
      <c r="B70" s="89" t="s">
        <v>158</v>
      </c>
      <c r="C70" s="89">
        <v>5</v>
      </c>
      <c r="D70" s="89">
        <v>2</v>
      </c>
      <c r="E70" s="89" t="s">
        <v>26</v>
      </c>
      <c r="F70" s="89" t="s">
        <v>23</v>
      </c>
      <c r="G70" s="89">
        <v>1</v>
      </c>
      <c r="H70" s="89">
        <v>0</v>
      </c>
      <c r="I70" s="116">
        <v>2e-5</v>
      </c>
      <c r="J70" s="116">
        <v>0.00068</v>
      </c>
      <c r="K70" s="116">
        <v>3.163</v>
      </c>
      <c r="L70" s="89">
        <v>1000</v>
      </c>
      <c r="M70" s="117">
        <v>13200</v>
      </c>
      <c r="N70" s="121">
        <v>62</v>
      </c>
      <c r="O70" s="89">
        <v>2</v>
      </c>
      <c r="P70" s="119">
        <v>0</v>
      </c>
      <c r="Q70" s="90" t="s">
        <v>90</v>
      </c>
    </row>
    <row r="71" spans="1:21">
      <c r="A71" s="88">
        <v>70</v>
      </c>
      <c r="B71" s="89" t="s">
        <v>159</v>
      </c>
      <c r="C71" s="89">
        <v>35</v>
      </c>
      <c r="D71" s="89">
        <v>9</v>
      </c>
      <c r="E71" s="89" t="s">
        <v>59</v>
      </c>
      <c r="F71" s="89" t="s">
        <v>31</v>
      </c>
      <c r="G71" s="89">
        <v>1</v>
      </c>
      <c r="H71" s="89">
        <v>0</v>
      </c>
      <c r="I71" s="116">
        <v>6e-5</v>
      </c>
      <c r="J71" s="116">
        <v>0.00227498901098901</v>
      </c>
      <c r="K71" s="116">
        <v>9.8914</v>
      </c>
      <c r="L71" s="89">
        <v>1000</v>
      </c>
      <c r="M71" s="117">
        <v>13200</v>
      </c>
      <c r="N71" s="121">
        <v>196</v>
      </c>
      <c r="O71" s="89">
        <v>2</v>
      </c>
      <c r="P71" s="119">
        <v>0</v>
      </c>
      <c r="Q71" s="90" t="s">
        <v>90</v>
      </c>
    </row>
    <row r="72" spans="1:21">
      <c r="A72" s="88">
        <v>71</v>
      </c>
      <c r="B72" s="89" t="s">
        <v>160</v>
      </c>
      <c r="C72" s="89">
        <v>21</v>
      </c>
      <c r="D72" s="89">
        <v>38</v>
      </c>
      <c r="E72" s="89" t="s">
        <v>44</v>
      </c>
      <c r="F72" s="89" t="s">
        <v>63</v>
      </c>
      <c r="G72" s="89">
        <v>1</v>
      </c>
      <c r="H72" s="89">
        <v>0</v>
      </c>
      <c r="I72" s="116">
        <v>0.0001</v>
      </c>
      <c r="J72" s="116">
        <v>0.003295</v>
      </c>
      <c r="K72" s="116">
        <v>13.6638</v>
      </c>
      <c r="L72" s="89">
        <v>1000</v>
      </c>
      <c r="M72" s="117">
        <v>13200</v>
      </c>
      <c r="N72" s="121">
        <v>274.5</v>
      </c>
      <c r="O72" s="89">
        <v>2</v>
      </c>
      <c r="P72" s="119">
        <v>0</v>
      </c>
      <c r="Q72" s="90" t="s">
        <v>90</v>
      </c>
    </row>
    <row r="73" spans="1:21">
      <c r="A73" s="88">
        <v>72</v>
      </c>
      <c r="B73" s="89" t="s">
        <v>161</v>
      </c>
      <c r="C73" s="89">
        <v>12</v>
      </c>
      <c r="D73" s="89">
        <v>5</v>
      </c>
      <c r="E73" s="89" t="s">
        <v>34</v>
      </c>
      <c r="F73" s="89" t="s">
        <v>26</v>
      </c>
      <c r="G73" s="89">
        <v>1</v>
      </c>
      <c r="H73" s="89">
        <v>0</v>
      </c>
      <c r="I73" s="116">
        <v>0.000105</v>
      </c>
      <c r="J73" s="116">
        <v>0.00393</v>
      </c>
      <c r="K73" s="116">
        <v>18.3158</v>
      </c>
      <c r="L73" s="89">
        <v>1000</v>
      </c>
      <c r="M73" s="117">
        <v>13200</v>
      </c>
      <c r="N73" s="121">
        <v>359</v>
      </c>
      <c r="O73" s="89">
        <v>2</v>
      </c>
      <c r="P73" s="119">
        <v>0</v>
      </c>
      <c r="Q73" s="90" t="s">
        <v>90</v>
      </c>
    </row>
    <row r="74" spans="1:21">
      <c r="A74" s="88">
        <v>73</v>
      </c>
      <c r="B74" s="89" t="s">
        <v>162</v>
      </c>
      <c r="C74" s="89">
        <v>9</v>
      </c>
      <c r="D74" s="89">
        <v>12</v>
      </c>
      <c r="E74" s="89" t="s">
        <v>31</v>
      </c>
      <c r="F74" s="89" t="s">
        <v>34</v>
      </c>
      <c r="G74" s="89">
        <v>1</v>
      </c>
      <c r="H74" s="89">
        <v>0</v>
      </c>
      <c r="I74" s="116">
        <v>4.5e-5</v>
      </c>
      <c r="J74" s="116">
        <v>0.001725</v>
      </c>
      <c r="K74" s="116">
        <v>7.5484</v>
      </c>
      <c r="L74" s="89">
        <v>1000</v>
      </c>
      <c r="M74" s="117">
        <v>13200</v>
      </c>
      <c r="N74" s="121">
        <v>148</v>
      </c>
      <c r="O74" s="89">
        <v>2</v>
      </c>
      <c r="P74" s="119">
        <v>0</v>
      </c>
      <c r="Q74" s="90" t="s">
        <v>90</v>
      </c>
    </row>
    <row r="75" spans="1:21">
      <c r="A75" s="88">
        <v>74</v>
      </c>
      <c r="B75" s="89" t="s">
        <v>163</v>
      </c>
      <c r="C75" s="89">
        <v>26</v>
      </c>
      <c r="D75" s="89">
        <v>18</v>
      </c>
      <c r="E75" s="89" t="s">
        <v>49</v>
      </c>
      <c r="F75" s="89" t="s">
        <v>40</v>
      </c>
      <c r="G75" s="89">
        <v>1</v>
      </c>
      <c r="H75" s="89">
        <v>0</v>
      </c>
      <c r="I75" s="116">
        <v>6.5e-5</v>
      </c>
      <c r="J75" s="116">
        <v>0.00232</v>
      </c>
      <c r="K75" s="116">
        <v>9.7604</v>
      </c>
      <c r="L75" s="89">
        <v>1000</v>
      </c>
      <c r="M75" s="117">
        <v>13200</v>
      </c>
      <c r="N75" s="121">
        <v>193</v>
      </c>
      <c r="O75" s="89">
        <v>2</v>
      </c>
      <c r="P75" s="119">
        <v>0</v>
      </c>
      <c r="Q75" s="90" t="s">
        <v>90</v>
      </c>
    </row>
    <row r="76" spans="1:21">
      <c r="A76" s="88">
        <v>75</v>
      </c>
      <c r="B76" s="89" t="s">
        <v>164</v>
      </c>
      <c r="C76" s="89">
        <v>18</v>
      </c>
      <c r="D76" s="89">
        <v>21</v>
      </c>
      <c r="E76" s="89" t="s">
        <v>40</v>
      </c>
      <c r="F76" s="89" t="s">
        <v>44</v>
      </c>
      <c r="G76" s="89">
        <v>1</v>
      </c>
      <c r="H76" s="89">
        <v>0</v>
      </c>
      <c r="I76" s="116">
        <v>4.5e-5</v>
      </c>
      <c r="J76" s="116">
        <v>0.00140749555950266</v>
      </c>
      <c r="K76" s="116">
        <v>5.9712</v>
      </c>
      <c r="L76" s="89">
        <v>1000</v>
      </c>
      <c r="M76" s="117">
        <v>13200</v>
      </c>
      <c r="N76" s="121">
        <v>118.5</v>
      </c>
      <c r="O76" s="89">
        <v>2</v>
      </c>
      <c r="P76" s="119">
        <v>0</v>
      </c>
      <c r="Q76" s="90" t="s">
        <v>90</v>
      </c>
    </row>
    <row r="77" spans="1:21">
      <c r="A77" s="88">
        <v>76</v>
      </c>
      <c r="B77" s="89" t="s">
        <v>165</v>
      </c>
      <c r="C77" s="89">
        <v>29</v>
      </c>
      <c r="D77" s="89">
        <v>35</v>
      </c>
      <c r="E77" s="89" t="s">
        <v>52</v>
      </c>
      <c r="F77" s="89" t="s">
        <v>59</v>
      </c>
      <c r="G77" s="89">
        <v>1</v>
      </c>
      <c r="H77" s="89">
        <v>0</v>
      </c>
      <c r="I77" s="116">
        <v>0.0001</v>
      </c>
      <c r="J77" s="116">
        <v>0.003855</v>
      </c>
      <c r="K77" s="116">
        <v>16.9058</v>
      </c>
      <c r="L77" s="89">
        <v>1000</v>
      </c>
      <c r="M77" s="117">
        <v>13200</v>
      </c>
      <c r="N77" s="121">
        <v>337</v>
      </c>
      <c r="O77" s="89">
        <v>2</v>
      </c>
      <c r="P77" s="119">
        <v>0</v>
      </c>
      <c r="Q77" s="90" t="s">
        <v>90</v>
      </c>
    </row>
    <row r="78" ht="14.6" spans="1:21">
      <c r="A78" s="88">
        <v>77</v>
      </c>
      <c r="B78" s="89" t="s">
        <v>166</v>
      </c>
      <c r="C78" s="89">
        <v>37</v>
      </c>
      <c r="D78" s="89">
        <v>38</v>
      </c>
      <c r="E78" s="89" t="s">
        <v>61</v>
      </c>
      <c r="F78" s="89" t="s">
        <v>63</v>
      </c>
      <c r="G78" s="89">
        <v>1</v>
      </c>
      <c r="H78" s="89">
        <v>0</v>
      </c>
      <c r="I78" s="116">
        <v>8.5e-5</v>
      </c>
      <c r="J78" s="116">
        <v>0.002895</v>
      </c>
      <c r="K78" s="116">
        <v>11.986</v>
      </c>
      <c r="L78" s="89">
        <v>1000</v>
      </c>
      <c r="M78" s="117">
        <v>13200</v>
      </c>
      <c r="N78" s="121">
        <v>242</v>
      </c>
      <c r="O78" s="89">
        <v>2</v>
      </c>
      <c r="P78" s="119">
        <v>0</v>
      </c>
      <c r="Q78" s="90" t="s">
        <v>90</v>
      </c>
    </row>
    <row r="79" spans="1:21">
      <c r="A79" s="85">
        <v>78</v>
      </c>
      <c r="B79" s="86" t="s">
        <v>167</v>
      </c>
      <c r="C79" s="86">
        <v>3</v>
      </c>
      <c r="D79" s="86">
        <v>22</v>
      </c>
      <c r="E79" s="86" t="str">
        <f>_xlfn.CONCAT("Bus",C79)</f>
        <v>Bus3</v>
      </c>
      <c r="F79" s="86" t="str">
        <f>_xlfn.CONCAT("Bus",D79)</f>
        <v>Bus22</v>
      </c>
      <c r="G79" s="86">
        <v>1</v>
      </c>
      <c r="H79" s="86">
        <v>1</v>
      </c>
      <c r="I79" s="112">
        <f>I11*O11</f>
        <v>0.000185073836967136</v>
      </c>
      <c r="J79" s="112">
        <f>J11*O11</f>
        <v>0.00377484467810302</v>
      </c>
      <c r="K79" s="112">
        <f>K11/O11</f>
        <v>0.30523</v>
      </c>
      <c r="L79" s="86">
        <v>500</v>
      </c>
      <c r="M79" s="113">
        <v>1522.5</v>
      </c>
      <c r="N79" s="114">
        <v>102</v>
      </c>
      <c r="O79" s="86">
        <f>O11*2</f>
        <v>4</v>
      </c>
      <c r="P79" s="115">
        <v>297</v>
      </c>
      <c r="Q79" s="87" t="s">
        <v>90</v>
      </c>
      <c r="S79" s="113"/>
      <c r="T79" s="114"/>
      <c r="U79" s="86"/>
    </row>
    <row r="80" spans="1:21">
      <c r="A80" s="88">
        <v>79</v>
      </c>
      <c r="B80" s="89" t="s">
        <v>168</v>
      </c>
      <c r="C80" s="89">
        <v>29</v>
      </c>
      <c r="D80" s="89">
        <v>8</v>
      </c>
      <c r="E80" s="89" t="str">
        <f t="shared" ref="E80:F144" si="3">_xlfn.CONCAT("Bus",C80)</f>
        <v>Bus29</v>
      </c>
      <c r="F80" s="89" t="str">
        <f t="shared" si="3"/>
        <v>Bus8</v>
      </c>
      <c r="G80" s="89">
        <v>1</v>
      </c>
      <c r="H80" s="89">
        <v>1</v>
      </c>
      <c r="I80" s="116">
        <f t="shared" ref="I80:I143" si="4">I12*O12</f>
        <v>0.00012656</v>
      </c>
      <c r="J80" s="116">
        <f t="shared" ref="J80:J143" si="5">J12*O12</f>
        <v>0.00223845519176801</v>
      </c>
      <c r="K80" s="116">
        <f t="shared" ref="K80:K143" si="6">K12/O12</f>
        <v>0.15283</v>
      </c>
      <c r="L80" s="89">
        <v>500</v>
      </c>
      <c r="M80" s="117">
        <v>1388.625</v>
      </c>
      <c r="N80" s="118">
        <v>117</v>
      </c>
      <c r="O80" s="89">
        <f t="shared" ref="O80:O143" si="7">O12*2</f>
        <v>4</v>
      </c>
      <c r="P80" s="119">
        <v>297</v>
      </c>
      <c r="Q80" s="90" t="s">
        <v>90</v>
      </c>
      <c r="S80" s="117"/>
      <c r="T80" s="118"/>
      <c r="U80" s="89"/>
    </row>
    <row r="81" spans="1:21">
      <c r="A81" s="88">
        <v>80</v>
      </c>
      <c r="B81" s="89" t="s">
        <v>169</v>
      </c>
      <c r="C81" s="89">
        <v>34</v>
      </c>
      <c r="D81" s="89">
        <v>10</v>
      </c>
      <c r="E81" s="89" t="str">
        <f t="shared" si="3"/>
        <v>Bus34</v>
      </c>
      <c r="F81" s="89" t="str">
        <f t="shared" si="3"/>
        <v>Bus10</v>
      </c>
      <c r="G81" s="89">
        <v>1</v>
      </c>
      <c r="H81" s="89">
        <v>1</v>
      </c>
      <c r="I81" s="116">
        <f t="shared" si="4"/>
        <v>0.000170504776523992</v>
      </c>
      <c r="J81" s="116">
        <f t="shared" si="5"/>
        <v>0.00363191107201617</v>
      </c>
      <c r="K81" s="116">
        <f t="shared" si="6"/>
        <v>0.22492</v>
      </c>
      <c r="L81" s="89">
        <v>500</v>
      </c>
      <c r="M81" s="117">
        <v>2021.25</v>
      </c>
      <c r="N81" s="118">
        <v>89.3</v>
      </c>
      <c r="O81" s="89">
        <f t="shared" si="7"/>
        <v>8</v>
      </c>
      <c r="P81" s="119">
        <v>297</v>
      </c>
      <c r="Q81" s="90" t="s">
        <v>90</v>
      </c>
      <c r="S81" s="117"/>
      <c r="T81" s="118"/>
      <c r="U81" s="89"/>
    </row>
    <row r="82" spans="1:21">
      <c r="A82" s="88">
        <v>81</v>
      </c>
      <c r="B82" s="89" t="s">
        <v>170</v>
      </c>
      <c r="C82" s="89">
        <v>10</v>
      </c>
      <c r="D82" s="89">
        <v>20</v>
      </c>
      <c r="E82" s="89" t="str">
        <f t="shared" si="3"/>
        <v>Bus10</v>
      </c>
      <c r="F82" s="89" t="str">
        <f t="shared" si="3"/>
        <v>Bus20</v>
      </c>
      <c r="G82" s="89">
        <v>1</v>
      </c>
      <c r="H82" s="89">
        <v>1</v>
      </c>
      <c r="I82" s="116">
        <f t="shared" si="4"/>
        <v>0.000341622018532593</v>
      </c>
      <c r="J82" s="116">
        <f t="shared" si="5"/>
        <v>0.00647191193796321</v>
      </c>
      <c r="K82" s="116">
        <f t="shared" si="6"/>
        <v>0.44352</v>
      </c>
      <c r="L82" s="89">
        <v>500</v>
      </c>
      <c r="M82" s="117">
        <v>1243.2</v>
      </c>
      <c r="N82" s="118">
        <v>150</v>
      </c>
      <c r="O82" s="89">
        <f t="shared" si="7"/>
        <v>12</v>
      </c>
      <c r="P82" s="119">
        <v>297</v>
      </c>
      <c r="Q82" s="90" t="s">
        <v>90</v>
      </c>
      <c r="S82" s="117"/>
      <c r="T82" s="118"/>
      <c r="U82" s="89"/>
    </row>
    <row r="83" spans="1:21">
      <c r="A83" s="88">
        <v>82</v>
      </c>
      <c r="B83" s="89" t="s">
        <v>171</v>
      </c>
      <c r="C83" s="89">
        <v>31</v>
      </c>
      <c r="D83" s="89">
        <v>20</v>
      </c>
      <c r="E83" s="89" t="str">
        <f t="shared" si="3"/>
        <v>Bus31</v>
      </c>
      <c r="F83" s="89" t="str">
        <f t="shared" si="3"/>
        <v>Bus20</v>
      </c>
      <c r="G83" s="89">
        <v>1</v>
      </c>
      <c r="H83" s="89">
        <v>1</v>
      </c>
      <c r="I83" s="116">
        <f t="shared" si="4"/>
        <v>0.00025402557663201</v>
      </c>
      <c r="J83" s="116">
        <f t="shared" si="5"/>
        <v>0.00449719439175087</v>
      </c>
      <c r="K83" s="116">
        <f t="shared" si="6"/>
        <v>0.35502</v>
      </c>
      <c r="L83" s="89">
        <v>500</v>
      </c>
      <c r="M83" s="117">
        <v>1674.4</v>
      </c>
      <c r="N83" s="118">
        <v>109.233333333333</v>
      </c>
      <c r="O83" s="89">
        <f t="shared" si="7"/>
        <v>6</v>
      </c>
      <c r="P83" s="119">
        <v>297</v>
      </c>
      <c r="Q83" s="90" t="s">
        <v>90</v>
      </c>
      <c r="S83" s="117"/>
      <c r="T83" s="118"/>
      <c r="U83" s="89"/>
    </row>
    <row r="84" spans="1:21">
      <c r="A84" s="88">
        <v>83</v>
      </c>
      <c r="B84" s="89" t="s">
        <v>172</v>
      </c>
      <c r="C84" s="89">
        <v>1</v>
      </c>
      <c r="D84" s="89">
        <v>7</v>
      </c>
      <c r="E84" s="89" t="str">
        <f t="shared" si="3"/>
        <v>Bus1</v>
      </c>
      <c r="F84" s="89" t="str">
        <f t="shared" si="3"/>
        <v>Bus7</v>
      </c>
      <c r="G84" s="89">
        <v>1</v>
      </c>
      <c r="H84" s="89">
        <v>1</v>
      </c>
      <c r="I84" s="116">
        <f t="shared" si="4"/>
        <v>0.00042</v>
      </c>
      <c r="J84" s="116">
        <f t="shared" si="5"/>
        <v>0.00956</v>
      </c>
      <c r="K84" s="116">
        <f t="shared" si="6"/>
        <v>0.55321</v>
      </c>
      <c r="L84" s="89">
        <v>500</v>
      </c>
      <c r="M84" s="117">
        <v>2021.25</v>
      </c>
      <c r="N84" s="118">
        <v>40</v>
      </c>
      <c r="O84" s="89">
        <f t="shared" si="7"/>
        <v>2</v>
      </c>
      <c r="P84" s="119">
        <v>297</v>
      </c>
      <c r="Q84" s="90" t="s">
        <v>90</v>
      </c>
      <c r="S84" s="117"/>
      <c r="T84" s="118"/>
      <c r="U84" s="89"/>
    </row>
    <row r="85" spans="1:21">
      <c r="A85" s="88">
        <v>84</v>
      </c>
      <c r="B85" s="89" t="s">
        <v>173</v>
      </c>
      <c r="C85" s="89">
        <v>21</v>
      </c>
      <c r="D85" s="89">
        <v>40</v>
      </c>
      <c r="E85" s="89" t="str">
        <f t="shared" si="3"/>
        <v>Bus21</v>
      </c>
      <c r="F85" s="89" t="str">
        <f t="shared" si="3"/>
        <v>Bus40</v>
      </c>
      <c r="G85" s="89">
        <v>1</v>
      </c>
      <c r="H85" s="89">
        <v>1</v>
      </c>
      <c r="I85" s="116">
        <f t="shared" si="4"/>
        <v>0.000156887147930795</v>
      </c>
      <c r="J85" s="116">
        <f t="shared" si="5"/>
        <v>0.00283666666666667</v>
      </c>
      <c r="K85" s="116">
        <f t="shared" si="6"/>
        <v>0.169644444444444</v>
      </c>
      <c r="L85" s="89">
        <v>500</v>
      </c>
      <c r="M85" s="117">
        <v>1188.6</v>
      </c>
      <c r="N85" s="118">
        <v>190</v>
      </c>
      <c r="O85" s="89">
        <f t="shared" si="7"/>
        <v>18</v>
      </c>
      <c r="P85" s="119">
        <v>297</v>
      </c>
      <c r="Q85" s="90" t="s">
        <v>90</v>
      </c>
      <c r="S85" s="117"/>
      <c r="T85" s="118"/>
      <c r="U85" s="89"/>
    </row>
    <row r="86" spans="1:21">
      <c r="A86" s="88">
        <v>85</v>
      </c>
      <c r="B86" s="89" t="s">
        <v>174</v>
      </c>
      <c r="C86" s="89">
        <v>5</v>
      </c>
      <c r="D86" s="89">
        <v>4</v>
      </c>
      <c r="E86" s="89" t="str">
        <f t="shared" si="3"/>
        <v>Bus5</v>
      </c>
      <c r="F86" s="89" t="str">
        <f t="shared" si="3"/>
        <v>Bus4</v>
      </c>
      <c r="G86" s="89">
        <v>1</v>
      </c>
      <c r="H86" s="89">
        <v>1</v>
      </c>
      <c r="I86" s="116">
        <f t="shared" si="4"/>
        <v>0.000402947368421053</v>
      </c>
      <c r="J86" s="116">
        <f t="shared" si="5"/>
        <v>0.00644870671378092</v>
      </c>
      <c r="K86" s="116">
        <f t="shared" si="6"/>
        <v>0.440745</v>
      </c>
      <c r="L86" s="89">
        <v>500</v>
      </c>
      <c r="M86" s="117">
        <v>3031.875</v>
      </c>
      <c r="N86" s="118">
        <v>31.3</v>
      </c>
      <c r="O86" s="89">
        <f t="shared" si="7"/>
        <v>4</v>
      </c>
      <c r="P86" s="119">
        <v>297</v>
      </c>
      <c r="Q86" s="90" t="s">
        <v>90</v>
      </c>
      <c r="S86" s="117"/>
      <c r="T86" s="118"/>
      <c r="U86" s="89"/>
    </row>
    <row r="87" spans="1:21">
      <c r="A87" s="88">
        <v>86</v>
      </c>
      <c r="B87" s="89" t="s">
        <v>175</v>
      </c>
      <c r="C87" s="89">
        <v>2</v>
      </c>
      <c r="D87" s="89">
        <v>4</v>
      </c>
      <c r="E87" s="89" t="str">
        <f t="shared" si="3"/>
        <v>Bus2</v>
      </c>
      <c r="F87" s="89" t="str">
        <f t="shared" si="3"/>
        <v>Bus4</v>
      </c>
      <c r="G87" s="89">
        <v>1</v>
      </c>
      <c r="H87" s="89">
        <v>1</v>
      </c>
      <c r="I87" s="116">
        <f t="shared" si="4"/>
        <v>0.00032</v>
      </c>
      <c r="J87" s="116">
        <f t="shared" si="5"/>
        <v>0.00731</v>
      </c>
      <c r="K87" s="116">
        <f t="shared" si="6"/>
        <v>0.4232</v>
      </c>
      <c r="L87" s="89">
        <v>500</v>
      </c>
      <c r="M87" s="117">
        <v>1260</v>
      </c>
      <c r="N87" s="118">
        <v>23.2</v>
      </c>
      <c r="O87" s="89">
        <f t="shared" si="7"/>
        <v>2</v>
      </c>
      <c r="P87" s="119">
        <v>297</v>
      </c>
      <c r="Q87" s="90" t="s">
        <v>90</v>
      </c>
      <c r="S87" s="117"/>
      <c r="T87" s="118"/>
      <c r="U87" s="89"/>
    </row>
    <row r="88" spans="1:21">
      <c r="A88" s="88">
        <v>87</v>
      </c>
      <c r="B88" s="89" t="s">
        <v>176</v>
      </c>
      <c r="C88" s="89">
        <v>2</v>
      </c>
      <c r="D88" s="89">
        <v>3</v>
      </c>
      <c r="E88" s="89" t="str">
        <f t="shared" si="3"/>
        <v>Bus2</v>
      </c>
      <c r="F88" s="89" t="str">
        <f t="shared" si="3"/>
        <v>Bus3</v>
      </c>
      <c r="G88" s="89">
        <v>1</v>
      </c>
      <c r="H88" s="89">
        <v>1</v>
      </c>
      <c r="I88" s="116">
        <f t="shared" si="4"/>
        <v>0.0006042275745966</v>
      </c>
      <c r="J88" s="116">
        <f t="shared" si="5"/>
        <v>0.0122075</v>
      </c>
      <c r="K88" s="116">
        <f t="shared" si="6"/>
        <v>0.726405</v>
      </c>
      <c r="L88" s="89">
        <v>500</v>
      </c>
      <c r="M88" s="117">
        <v>3060.75</v>
      </c>
      <c r="N88" s="118">
        <v>43.7</v>
      </c>
      <c r="O88" s="89">
        <f t="shared" si="7"/>
        <v>8</v>
      </c>
      <c r="P88" s="119">
        <v>297</v>
      </c>
      <c r="Q88" s="90" t="s">
        <v>90</v>
      </c>
      <c r="S88" s="117"/>
      <c r="T88" s="118"/>
      <c r="U88" s="89"/>
    </row>
    <row r="89" spans="1:21">
      <c r="A89" s="88">
        <v>88</v>
      </c>
      <c r="B89" s="89" t="s">
        <v>177</v>
      </c>
      <c r="C89" s="89">
        <v>4</v>
      </c>
      <c r="D89" s="89">
        <v>3</v>
      </c>
      <c r="E89" s="89" t="str">
        <f t="shared" si="3"/>
        <v>Bus4</v>
      </c>
      <c r="F89" s="89" t="str">
        <f t="shared" si="3"/>
        <v>Bus3</v>
      </c>
      <c r="G89" s="89">
        <v>1</v>
      </c>
      <c r="H89" s="89">
        <v>1</v>
      </c>
      <c r="I89" s="116">
        <f t="shared" si="4"/>
        <v>0.000547599615129001</v>
      </c>
      <c r="J89" s="116">
        <f t="shared" si="5"/>
        <v>0.00937616233356148</v>
      </c>
      <c r="K89" s="116">
        <f t="shared" si="6"/>
        <v>0.634275</v>
      </c>
      <c r="L89" s="89">
        <v>500</v>
      </c>
      <c r="M89" s="117">
        <v>1254.75</v>
      </c>
      <c r="N89" s="118">
        <v>22.6</v>
      </c>
      <c r="O89" s="89">
        <f t="shared" si="7"/>
        <v>4</v>
      </c>
      <c r="P89" s="119">
        <v>297</v>
      </c>
      <c r="Q89" s="90" t="s">
        <v>90</v>
      </c>
      <c r="S89" s="117"/>
      <c r="T89" s="118"/>
      <c r="U89" s="89"/>
    </row>
    <row r="90" spans="1:21">
      <c r="A90" s="88">
        <v>89</v>
      </c>
      <c r="B90" s="89" t="s">
        <v>178</v>
      </c>
      <c r="C90" s="89">
        <v>5</v>
      </c>
      <c r="D90" s="89">
        <v>6</v>
      </c>
      <c r="E90" s="89" t="str">
        <f t="shared" si="3"/>
        <v>Bus5</v>
      </c>
      <c r="F90" s="89" t="str">
        <f t="shared" si="3"/>
        <v>Bus6</v>
      </c>
      <c r="G90" s="89">
        <v>1</v>
      </c>
      <c r="H90" s="89">
        <v>1</v>
      </c>
      <c r="I90" s="116">
        <f t="shared" si="4"/>
        <v>0.000289131528462444</v>
      </c>
      <c r="J90" s="116">
        <f t="shared" si="5"/>
        <v>0.0067925</v>
      </c>
      <c r="K90" s="116">
        <f t="shared" si="6"/>
        <v>0.41565625</v>
      </c>
      <c r="L90" s="89">
        <v>500</v>
      </c>
      <c r="M90" s="117">
        <v>1762.6875</v>
      </c>
      <c r="N90" s="118">
        <v>38.325</v>
      </c>
      <c r="O90" s="89">
        <f t="shared" si="7"/>
        <v>16</v>
      </c>
      <c r="P90" s="119">
        <v>297</v>
      </c>
      <c r="Q90" s="90" t="s">
        <v>90</v>
      </c>
      <c r="S90" s="117"/>
      <c r="T90" s="118"/>
      <c r="U90" s="89"/>
    </row>
    <row r="91" spans="1:21">
      <c r="A91" s="88">
        <v>90</v>
      </c>
      <c r="B91" s="89" t="s">
        <v>179</v>
      </c>
      <c r="C91" s="89">
        <v>9</v>
      </c>
      <c r="D91" s="89">
        <v>8</v>
      </c>
      <c r="E91" s="89" t="str">
        <f t="shared" si="3"/>
        <v>Bus9</v>
      </c>
      <c r="F91" s="89" t="str">
        <f t="shared" si="3"/>
        <v>Bus8</v>
      </c>
      <c r="G91" s="89">
        <v>1</v>
      </c>
      <c r="H91" s="89">
        <v>1</v>
      </c>
      <c r="I91" s="116">
        <f t="shared" si="4"/>
        <v>0.00133766177832293</v>
      </c>
      <c r="J91" s="116">
        <f t="shared" si="5"/>
        <v>0.0209520197756842</v>
      </c>
      <c r="K91" s="116">
        <f t="shared" si="6"/>
        <v>1.289975</v>
      </c>
      <c r="L91" s="89">
        <v>500</v>
      </c>
      <c r="M91" s="117">
        <v>1897</v>
      </c>
      <c r="N91" s="118">
        <v>73.2333333333333</v>
      </c>
      <c r="O91" s="89">
        <f t="shared" si="7"/>
        <v>8</v>
      </c>
      <c r="P91" s="119">
        <v>297</v>
      </c>
      <c r="Q91" s="90" t="s">
        <v>90</v>
      </c>
      <c r="S91" s="117"/>
      <c r="T91" s="118"/>
      <c r="U91" s="89"/>
    </row>
    <row r="92" spans="1:21">
      <c r="A92" s="88">
        <v>91</v>
      </c>
      <c r="B92" s="89" t="s">
        <v>180</v>
      </c>
      <c r="C92" s="89">
        <v>15</v>
      </c>
      <c r="D92" s="89">
        <v>14</v>
      </c>
      <c r="E92" s="89" t="str">
        <f t="shared" si="3"/>
        <v>Bus15</v>
      </c>
      <c r="F92" s="89" t="str">
        <f t="shared" si="3"/>
        <v>Bus14</v>
      </c>
      <c r="G92" s="89">
        <v>1</v>
      </c>
      <c r="H92" s="89">
        <v>1</v>
      </c>
      <c r="I92" s="116">
        <f t="shared" si="4"/>
        <v>0.000385609950089538</v>
      </c>
      <c r="J92" s="116">
        <f t="shared" si="5"/>
        <v>0.00866520087725697</v>
      </c>
      <c r="K92" s="116">
        <f t="shared" si="6"/>
        <v>0.53304</v>
      </c>
      <c r="L92" s="89">
        <v>500</v>
      </c>
      <c r="M92" s="117">
        <v>2394</v>
      </c>
      <c r="N92" s="118">
        <v>56.0666666666667</v>
      </c>
      <c r="O92" s="89">
        <f t="shared" si="7"/>
        <v>4</v>
      </c>
      <c r="P92" s="119">
        <v>297</v>
      </c>
      <c r="Q92" s="90" t="s">
        <v>90</v>
      </c>
      <c r="S92" s="117"/>
      <c r="T92" s="118"/>
      <c r="U92" s="89"/>
    </row>
    <row r="93" spans="1:21">
      <c r="A93" s="88">
        <v>92</v>
      </c>
      <c r="B93" s="89" t="s">
        <v>181</v>
      </c>
      <c r="C93" s="89">
        <v>12</v>
      </c>
      <c r="D93" s="89">
        <v>15</v>
      </c>
      <c r="E93" s="89" t="str">
        <f t="shared" si="3"/>
        <v>Bus12</v>
      </c>
      <c r="F93" s="89" t="str">
        <f t="shared" si="3"/>
        <v>Bus15</v>
      </c>
      <c r="G93" s="89">
        <v>1</v>
      </c>
      <c r="H93" s="89">
        <v>1</v>
      </c>
      <c r="I93" s="116">
        <f t="shared" si="4"/>
        <v>0.00049</v>
      </c>
      <c r="J93" s="116">
        <f t="shared" si="5"/>
        <v>0.01105</v>
      </c>
      <c r="K93" s="116">
        <f t="shared" si="6"/>
        <v>0.63965</v>
      </c>
      <c r="L93" s="89">
        <v>500</v>
      </c>
      <c r="M93" s="117">
        <v>1569.75</v>
      </c>
      <c r="N93" s="118">
        <v>96</v>
      </c>
      <c r="O93" s="89">
        <f t="shared" si="7"/>
        <v>2</v>
      </c>
      <c r="P93" s="119">
        <v>297</v>
      </c>
      <c r="Q93" s="90" t="s">
        <v>90</v>
      </c>
      <c r="S93" s="117"/>
      <c r="T93" s="118"/>
      <c r="U93" s="89"/>
    </row>
    <row r="94" spans="1:21">
      <c r="A94" s="88">
        <v>93</v>
      </c>
      <c r="B94" s="89" t="s">
        <v>182</v>
      </c>
      <c r="C94" s="89">
        <v>10</v>
      </c>
      <c r="D94" s="89">
        <v>6</v>
      </c>
      <c r="E94" s="89" t="str">
        <f t="shared" si="3"/>
        <v>Bus10</v>
      </c>
      <c r="F94" s="89" t="str">
        <f t="shared" si="3"/>
        <v>Bus6</v>
      </c>
      <c r="G94" s="89">
        <v>1</v>
      </c>
      <c r="H94" s="89">
        <v>1</v>
      </c>
      <c r="I94" s="116">
        <f t="shared" si="4"/>
        <v>0.000639489455560446</v>
      </c>
      <c r="J94" s="116">
        <f t="shared" si="5"/>
        <v>0.00802437049863659</v>
      </c>
      <c r="K94" s="116">
        <f t="shared" si="6"/>
        <v>0.591195</v>
      </c>
      <c r="L94" s="89">
        <v>500</v>
      </c>
      <c r="M94" s="117">
        <v>2151.33333333333</v>
      </c>
      <c r="N94" s="118">
        <v>28.3666666666667</v>
      </c>
      <c r="O94" s="89">
        <f t="shared" si="7"/>
        <v>4</v>
      </c>
      <c r="P94" s="119">
        <v>297</v>
      </c>
      <c r="Q94" s="90" t="s">
        <v>90</v>
      </c>
      <c r="S94" s="117"/>
      <c r="T94" s="118"/>
      <c r="U94" s="89"/>
    </row>
    <row r="95" spans="1:21">
      <c r="A95" s="88">
        <v>94</v>
      </c>
      <c r="B95" s="89" t="s">
        <v>183</v>
      </c>
      <c r="C95" s="89">
        <v>10</v>
      </c>
      <c r="D95" s="89">
        <v>8</v>
      </c>
      <c r="E95" s="89" t="str">
        <f t="shared" si="3"/>
        <v>Bus10</v>
      </c>
      <c r="F95" s="89" t="str">
        <f t="shared" si="3"/>
        <v>Bus8</v>
      </c>
      <c r="G95" s="89">
        <v>1</v>
      </c>
      <c r="H95" s="89">
        <v>1</v>
      </c>
      <c r="I95" s="116">
        <f t="shared" si="4"/>
        <v>0.00017</v>
      </c>
      <c r="J95" s="116">
        <f t="shared" si="5"/>
        <v>0.00288</v>
      </c>
      <c r="K95" s="116">
        <f t="shared" si="6"/>
        <v>0.18617</v>
      </c>
      <c r="L95" s="89">
        <v>500</v>
      </c>
      <c r="M95" s="117">
        <v>1771.875</v>
      </c>
      <c r="N95" s="118">
        <v>73.25</v>
      </c>
      <c r="O95" s="89">
        <f t="shared" si="7"/>
        <v>4</v>
      </c>
      <c r="P95" s="119">
        <v>297</v>
      </c>
      <c r="Q95" s="90" t="s">
        <v>90</v>
      </c>
      <c r="S95" s="117"/>
      <c r="T95" s="118"/>
      <c r="U95" s="89"/>
    </row>
    <row r="96" spans="1:21">
      <c r="A96" s="88">
        <v>95</v>
      </c>
      <c r="B96" s="89" t="s">
        <v>184</v>
      </c>
      <c r="C96" s="89">
        <v>6</v>
      </c>
      <c r="D96" s="89">
        <v>8</v>
      </c>
      <c r="E96" s="89" t="str">
        <f t="shared" si="3"/>
        <v>Bus6</v>
      </c>
      <c r="F96" s="89" t="str">
        <f t="shared" si="3"/>
        <v>Bus8</v>
      </c>
      <c r="G96" s="89">
        <v>1</v>
      </c>
      <c r="H96" s="89">
        <v>1</v>
      </c>
      <c r="I96" s="116">
        <f t="shared" si="4"/>
        <v>0.000142407370481906</v>
      </c>
      <c r="J96" s="116">
        <f t="shared" si="5"/>
        <v>0.00282446504633867</v>
      </c>
      <c r="K96" s="116">
        <f t="shared" si="6"/>
        <v>0.1642</v>
      </c>
      <c r="L96" s="89">
        <v>500</v>
      </c>
      <c r="M96" s="117">
        <v>2021.25</v>
      </c>
      <c r="N96" s="118">
        <v>73.4</v>
      </c>
      <c r="O96" s="89">
        <f t="shared" si="7"/>
        <v>10</v>
      </c>
      <c r="P96" s="119">
        <v>297</v>
      </c>
      <c r="Q96" s="90" t="s">
        <v>90</v>
      </c>
      <c r="S96" s="117"/>
      <c r="T96" s="118"/>
      <c r="U96" s="89"/>
    </row>
    <row r="97" spans="1:21">
      <c r="A97" s="88">
        <v>96</v>
      </c>
      <c r="B97" s="89" t="s">
        <v>185</v>
      </c>
      <c r="C97" s="89">
        <v>13</v>
      </c>
      <c r="D97" s="89">
        <v>14</v>
      </c>
      <c r="E97" s="89" t="str">
        <f t="shared" si="3"/>
        <v>Bus13</v>
      </c>
      <c r="F97" s="89" t="str">
        <f t="shared" si="3"/>
        <v>Bus14</v>
      </c>
      <c r="G97" s="89">
        <v>1</v>
      </c>
      <c r="H97" s="89">
        <v>1</v>
      </c>
      <c r="I97" s="116">
        <f t="shared" si="4"/>
        <v>0.00076</v>
      </c>
      <c r="J97" s="116">
        <f t="shared" si="5"/>
        <v>0.0172</v>
      </c>
      <c r="K97" s="116">
        <f t="shared" si="6"/>
        <v>0.99551</v>
      </c>
      <c r="L97" s="89">
        <v>500</v>
      </c>
      <c r="M97" s="117">
        <v>1479.1875</v>
      </c>
      <c r="N97" s="118">
        <v>122.075</v>
      </c>
      <c r="O97" s="89">
        <f t="shared" si="7"/>
        <v>4</v>
      </c>
      <c r="P97" s="119">
        <v>297</v>
      </c>
      <c r="Q97" s="90" t="s">
        <v>90</v>
      </c>
      <c r="S97" s="117"/>
      <c r="T97" s="118"/>
      <c r="U97" s="89"/>
    </row>
    <row r="98" spans="1:21">
      <c r="A98" s="88">
        <v>97</v>
      </c>
      <c r="B98" s="89" t="s">
        <v>186</v>
      </c>
      <c r="C98" s="89">
        <v>13</v>
      </c>
      <c r="D98" s="89">
        <v>16</v>
      </c>
      <c r="E98" s="89" t="str">
        <f t="shared" si="3"/>
        <v>Bus13</v>
      </c>
      <c r="F98" s="89" t="str">
        <f t="shared" si="3"/>
        <v>Bus16</v>
      </c>
      <c r="G98" s="89">
        <v>1</v>
      </c>
      <c r="H98" s="89">
        <v>1</v>
      </c>
      <c r="I98" s="116">
        <f t="shared" si="4"/>
        <v>0.00031</v>
      </c>
      <c r="J98" s="116">
        <f t="shared" si="5"/>
        <v>0.00568499560246262</v>
      </c>
      <c r="K98" s="116">
        <f t="shared" si="6"/>
        <v>0.37948</v>
      </c>
      <c r="L98" s="89">
        <v>500</v>
      </c>
      <c r="M98" s="117">
        <v>1795.5</v>
      </c>
      <c r="N98" s="118">
        <v>100.6</v>
      </c>
      <c r="O98" s="89">
        <f t="shared" si="7"/>
        <v>4</v>
      </c>
      <c r="P98" s="119">
        <v>297</v>
      </c>
      <c r="Q98" s="90" t="s">
        <v>90</v>
      </c>
      <c r="S98" s="117"/>
      <c r="T98" s="118"/>
      <c r="U98" s="89"/>
    </row>
    <row r="99" spans="1:21">
      <c r="A99" s="88">
        <v>98</v>
      </c>
      <c r="B99" s="89" t="s">
        <v>187</v>
      </c>
      <c r="C99" s="89">
        <v>9</v>
      </c>
      <c r="D99" s="89">
        <v>16</v>
      </c>
      <c r="E99" s="89" t="str">
        <f t="shared" si="3"/>
        <v>Bus9</v>
      </c>
      <c r="F99" s="89" t="str">
        <f t="shared" si="3"/>
        <v>Bus16</v>
      </c>
      <c r="G99" s="89">
        <v>1</v>
      </c>
      <c r="H99" s="89">
        <v>1</v>
      </c>
      <c r="I99" s="116">
        <f t="shared" si="4"/>
        <v>0.0004</v>
      </c>
      <c r="J99" s="116">
        <f t="shared" si="5"/>
        <v>0.00896</v>
      </c>
      <c r="K99" s="116">
        <f t="shared" si="6"/>
        <v>0.51859</v>
      </c>
      <c r="L99" s="89">
        <v>500</v>
      </c>
      <c r="M99" s="117">
        <v>1631.4375</v>
      </c>
      <c r="N99" s="118">
        <v>67.925</v>
      </c>
      <c r="O99" s="89">
        <f t="shared" si="7"/>
        <v>4</v>
      </c>
      <c r="P99" s="119">
        <v>297</v>
      </c>
      <c r="Q99" s="90" t="s">
        <v>90</v>
      </c>
      <c r="S99" s="117"/>
      <c r="T99" s="118"/>
      <c r="U99" s="89"/>
    </row>
    <row r="100" spans="1:21">
      <c r="A100" s="88">
        <v>99</v>
      </c>
      <c r="B100" s="89" t="s">
        <v>188</v>
      </c>
      <c r="C100" s="89">
        <v>9</v>
      </c>
      <c r="D100" s="89">
        <v>11</v>
      </c>
      <c r="E100" s="89" t="str">
        <f t="shared" si="3"/>
        <v>Bus9</v>
      </c>
      <c r="F100" s="89" t="str">
        <f t="shared" si="3"/>
        <v>Bus11</v>
      </c>
      <c r="G100" s="89">
        <v>1</v>
      </c>
      <c r="H100" s="89">
        <v>1</v>
      </c>
      <c r="I100" s="116">
        <f t="shared" si="4"/>
        <v>0.000289655172413793</v>
      </c>
      <c r="J100" s="116">
        <f t="shared" si="5"/>
        <v>0.00446253079507279</v>
      </c>
      <c r="K100" s="116">
        <f t="shared" si="6"/>
        <v>0.286185</v>
      </c>
      <c r="L100" s="89">
        <v>500</v>
      </c>
      <c r="M100" s="117">
        <v>1638</v>
      </c>
      <c r="N100" s="118">
        <v>216.75</v>
      </c>
      <c r="O100" s="89">
        <f t="shared" si="7"/>
        <v>4</v>
      </c>
      <c r="P100" s="119">
        <v>297</v>
      </c>
      <c r="Q100" s="90" t="s">
        <v>90</v>
      </c>
      <c r="S100" s="117"/>
      <c r="T100" s="118"/>
      <c r="U100" s="89"/>
    </row>
    <row r="101" spans="1:21">
      <c r="A101" s="88">
        <v>100</v>
      </c>
      <c r="B101" s="89" t="s">
        <v>189</v>
      </c>
      <c r="C101" s="89">
        <v>5</v>
      </c>
      <c r="D101" s="89">
        <v>17</v>
      </c>
      <c r="E101" s="89" t="str">
        <f t="shared" si="3"/>
        <v>Bus5</v>
      </c>
      <c r="F101" s="89" t="str">
        <f t="shared" si="3"/>
        <v>Bus17</v>
      </c>
      <c r="G101" s="89">
        <v>1</v>
      </c>
      <c r="H101" s="89">
        <v>1</v>
      </c>
      <c r="I101" s="116">
        <f t="shared" si="4"/>
        <v>0.000298717075094102</v>
      </c>
      <c r="J101" s="116">
        <f t="shared" si="5"/>
        <v>0.00482991154944651</v>
      </c>
      <c r="K101" s="116">
        <f t="shared" si="6"/>
        <v>0.299666666666667</v>
      </c>
      <c r="L101" s="89">
        <v>500</v>
      </c>
      <c r="M101" s="117">
        <v>1569.75</v>
      </c>
      <c r="N101" s="118">
        <v>92.5</v>
      </c>
      <c r="O101" s="89">
        <f t="shared" si="7"/>
        <v>6</v>
      </c>
      <c r="P101" s="119">
        <v>297</v>
      </c>
      <c r="Q101" s="90" t="s">
        <v>90</v>
      </c>
      <c r="S101" s="117"/>
      <c r="T101" s="118"/>
      <c r="U101" s="89"/>
    </row>
    <row r="102" spans="1:21">
      <c r="A102" s="88">
        <v>101</v>
      </c>
      <c r="B102" s="89" t="s">
        <v>190</v>
      </c>
      <c r="C102" s="89">
        <v>12</v>
      </c>
      <c r="D102" s="89">
        <v>14</v>
      </c>
      <c r="E102" s="89" t="str">
        <f t="shared" si="3"/>
        <v>Bus12</v>
      </c>
      <c r="F102" s="89" t="str">
        <f t="shared" si="3"/>
        <v>Bus14</v>
      </c>
      <c r="G102" s="89">
        <v>1</v>
      </c>
      <c r="H102" s="89">
        <v>1</v>
      </c>
      <c r="I102" s="116">
        <f t="shared" si="4"/>
        <v>0.000504312050180627</v>
      </c>
      <c r="J102" s="116">
        <f t="shared" si="5"/>
        <v>0.00813768615391853</v>
      </c>
      <c r="K102" s="116">
        <f t="shared" si="6"/>
        <v>0.556864</v>
      </c>
      <c r="L102" s="89">
        <v>500</v>
      </c>
      <c r="M102" s="117">
        <v>1569.75</v>
      </c>
      <c r="N102" s="118">
        <v>111</v>
      </c>
      <c r="O102" s="89">
        <f t="shared" si="7"/>
        <v>10</v>
      </c>
      <c r="P102" s="119">
        <v>297</v>
      </c>
      <c r="Q102" s="90" t="s">
        <v>90</v>
      </c>
      <c r="S102" s="117"/>
      <c r="T102" s="118"/>
      <c r="U102" s="89"/>
    </row>
    <row r="103" spans="1:21">
      <c r="A103" s="88">
        <v>102</v>
      </c>
      <c r="B103" s="89" t="s">
        <v>191</v>
      </c>
      <c r="C103" s="89">
        <v>12</v>
      </c>
      <c r="D103" s="89">
        <v>6</v>
      </c>
      <c r="E103" s="89" t="str">
        <f t="shared" si="3"/>
        <v>Bus12</v>
      </c>
      <c r="F103" s="89" t="str">
        <f t="shared" si="3"/>
        <v>Bus6</v>
      </c>
      <c r="G103" s="89">
        <v>1</v>
      </c>
      <c r="H103" s="89">
        <v>1</v>
      </c>
      <c r="I103" s="116">
        <f t="shared" si="4"/>
        <v>0.000714125874125874</v>
      </c>
      <c r="J103" s="116">
        <f t="shared" si="5"/>
        <v>0.0105748085106383</v>
      </c>
      <c r="K103" s="116">
        <f t="shared" si="6"/>
        <v>0.624095</v>
      </c>
      <c r="L103" s="89">
        <v>500</v>
      </c>
      <c r="M103" s="117">
        <v>1627.5</v>
      </c>
      <c r="N103" s="118">
        <v>82.7</v>
      </c>
      <c r="O103" s="89">
        <f t="shared" si="7"/>
        <v>4</v>
      </c>
      <c r="P103" s="119">
        <v>297</v>
      </c>
      <c r="Q103" s="90" t="s">
        <v>90</v>
      </c>
      <c r="S103" s="117"/>
      <c r="T103" s="118"/>
      <c r="U103" s="89"/>
    </row>
    <row r="104" spans="1:21">
      <c r="A104" s="88">
        <v>103</v>
      </c>
      <c r="B104" s="89" t="s">
        <v>192</v>
      </c>
      <c r="C104" s="89">
        <v>17</v>
      </c>
      <c r="D104" s="89">
        <v>8</v>
      </c>
      <c r="E104" s="89" t="str">
        <f t="shared" si="3"/>
        <v>Bus17</v>
      </c>
      <c r="F104" s="89" t="str">
        <f t="shared" si="3"/>
        <v>Bus8</v>
      </c>
      <c r="G104" s="89">
        <v>1</v>
      </c>
      <c r="H104" s="89">
        <v>1</v>
      </c>
      <c r="I104" s="116">
        <f t="shared" si="4"/>
        <v>0.000940510379276378</v>
      </c>
      <c r="J104" s="116">
        <f t="shared" si="5"/>
        <v>0.012508569076159</v>
      </c>
      <c r="K104" s="116">
        <f t="shared" si="6"/>
        <v>0.711076666666667</v>
      </c>
      <c r="L104" s="89">
        <v>500</v>
      </c>
      <c r="M104" s="117">
        <v>2005.5</v>
      </c>
      <c r="N104" s="118">
        <v>31.2</v>
      </c>
      <c r="O104" s="89">
        <f t="shared" si="7"/>
        <v>6</v>
      </c>
      <c r="P104" s="119">
        <v>297</v>
      </c>
      <c r="Q104" s="90" t="s">
        <v>90</v>
      </c>
      <c r="S104" s="117"/>
      <c r="T104" s="118"/>
      <c r="U104" s="89"/>
    </row>
    <row r="105" spans="1:21">
      <c r="A105" s="88">
        <v>104</v>
      </c>
      <c r="B105" s="89" t="s">
        <v>193</v>
      </c>
      <c r="C105" s="89">
        <v>7</v>
      </c>
      <c r="D105" s="89">
        <v>14</v>
      </c>
      <c r="E105" s="89" t="str">
        <f t="shared" si="3"/>
        <v>Bus7</v>
      </c>
      <c r="F105" s="89" t="str">
        <f t="shared" si="3"/>
        <v>Bus14</v>
      </c>
      <c r="G105" s="89">
        <v>1</v>
      </c>
      <c r="H105" s="89">
        <v>1</v>
      </c>
      <c r="I105" s="116">
        <f t="shared" si="4"/>
        <v>0.000380025089643716</v>
      </c>
      <c r="J105" s="116">
        <f t="shared" si="5"/>
        <v>0.00552463520978545</v>
      </c>
      <c r="K105" s="116">
        <f t="shared" si="6"/>
        <v>0.34095</v>
      </c>
      <c r="L105" s="89">
        <v>500</v>
      </c>
      <c r="M105" s="117">
        <v>1524.6</v>
      </c>
      <c r="N105" s="118">
        <v>32.84</v>
      </c>
      <c r="O105" s="89">
        <f t="shared" si="7"/>
        <v>4</v>
      </c>
      <c r="P105" s="119">
        <v>297</v>
      </c>
      <c r="Q105" s="90" t="s">
        <v>90</v>
      </c>
      <c r="S105" s="117"/>
      <c r="T105" s="118"/>
      <c r="U105" s="89"/>
    </row>
    <row r="106" spans="1:21">
      <c r="A106" s="88">
        <v>105</v>
      </c>
      <c r="B106" s="89" t="s">
        <v>194</v>
      </c>
      <c r="C106" s="89">
        <v>15</v>
      </c>
      <c r="D106" s="89">
        <v>6</v>
      </c>
      <c r="E106" s="89" t="str">
        <f t="shared" si="3"/>
        <v>Bus15</v>
      </c>
      <c r="F106" s="89" t="str">
        <f t="shared" si="3"/>
        <v>Bus6</v>
      </c>
      <c r="G106" s="89">
        <v>1</v>
      </c>
      <c r="H106" s="89">
        <v>1</v>
      </c>
      <c r="I106" s="116">
        <f t="shared" si="4"/>
        <v>0.000114048061447048</v>
      </c>
      <c r="J106" s="116">
        <f t="shared" si="5"/>
        <v>0.00403666666666667</v>
      </c>
      <c r="K106" s="116">
        <f t="shared" si="6"/>
        <v>0.239888333333333</v>
      </c>
      <c r="L106" s="89">
        <v>500</v>
      </c>
      <c r="M106" s="117">
        <v>1569.75</v>
      </c>
      <c r="N106" s="118">
        <v>173</v>
      </c>
      <c r="O106" s="89">
        <f t="shared" si="7"/>
        <v>12</v>
      </c>
      <c r="P106" s="119">
        <v>297</v>
      </c>
      <c r="Q106" s="90" t="s">
        <v>90</v>
      </c>
      <c r="S106" s="117"/>
      <c r="T106" s="118"/>
      <c r="U106" s="89"/>
    </row>
    <row r="107" spans="1:21">
      <c r="A107" s="88">
        <v>106</v>
      </c>
      <c r="B107" s="89" t="s">
        <v>195</v>
      </c>
      <c r="C107" s="89">
        <v>7</v>
      </c>
      <c r="D107" s="89">
        <v>15</v>
      </c>
      <c r="E107" s="89" t="str">
        <f t="shared" si="3"/>
        <v>Bus7</v>
      </c>
      <c r="F107" s="89" t="str">
        <f t="shared" si="3"/>
        <v>Bus15</v>
      </c>
      <c r="G107" s="89">
        <v>1</v>
      </c>
      <c r="H107" s="89">
        <v>1</v>
      </c>
      <c r="I107" s="116">
        <f t="shared" si="4"/>
        <v>0.00018593908102834</v>
      </c>
      <c r="J107" s="116">
        <f t="shared" si="5"/>
        <v>0.00401155678781714</v>
      </c>
      <c r="K107" s="116">
        <f t="shared" si="6"/>
        <v>0.328753333333333</v>
      </c>
      <c r="L107" s="89">
        <v>500</v>
      </c>
      <c r="M107" s="117">
        <v>2021.25</v>
      </c>
      <c r="N107" s="118">
        <v>58.5</v>
      </c>
      <c r="O107" s="89">
        <f t="shared" si="7"/>
        <v>12</v>
      </c>
      <c r="P107" s="119">
        <v>297</v>
      </c>
      <c r="Q107" s="90" t="s">
        <v>90</v>
      </c>
      <c r="S107" s="117"/>
      <c r="T107" s="118"/>
      <c r="U107" s="89"/>
    </row>
    <row r="108" spans="1:21">
      <c r="A108" s="88">
        <v>107</v>
      </c>
      <c r="B108" s="89" t="s">
        <v>196</v>
      </c>
      <c r="C108" s="89">
        <v>15</v>
      </c>
      <c r="D108" s="89">
        <v>9</v>
      </c>
      <c r="E108" s="89" t="str">
        <f t="shared" si="3"/>
        <v>Bus15</v>
      </c>
      <c r="F108" s="89" t="str">
        <f t="shared" si="3"/>
        <v>Bus9</v>
      </c>
      <c r="G108" s="89">
        <v>1</v>
      </c>
      <c r="H108" s="89">
        <v>1</v>
      </c>
      <c r="I108" s="116">
        <f t="shared" si="4"/>
        <v>0.000154207874919133</v>
      </c>
      <c r="J108" s="116">
        <f t="shared" si="5"/>
        <v>0.00300596407697496</v>
      </c>
      <c r="K108" s="116">
        <f t="shared" si="6"/>
        <v>0.2187125</v>
      </c>
      <c r="L108" s="89">
        <v>500</v>
      </c>
      <c r="M108" s="117">
        <v>2021.25</v>
      </c>
      <c r="N108" s="118">
        <v>90</v>
      </c>
      <c r="O108" s="89">
        <f t="shared" si="7"/>
        <v>8</v>
      </c>
      <c r="P108" s="119">
        <v>297</v>
      </c>
      <c r="Q108" s="90" t="s">
        <v>90</v>
      </c>
      <c r="S108" s="117"/>
      <c r="T108" s="118"/>
      <c r="U108" s="89"/>
    </row>
    <row r="109" spans="1:21">
      <c r="A109" s="88">
        <v>108</v>
      </c>
      <c r="B109" s="89" t="s">
        <v>197</v>
      </c>
      <c r="C109" s="89">
        <v>17</v>
      </c>
      <c r="D109" s="89">
        <v>15</v>
      </c>
      <c r="E109" s="89" t="str">
        <f t="shared" si="3"/>
        <v>Bus17</v>
      </c>
      <c r="F109" s="89" t="str">
        <f t="shared" si="3"/>
        <v>Bus15</v>
      </c>
      <c r="G109" s="89">
        <v>1</v>
      </c>
      <c r="H109" s="89">
        <v>1</v>
      </c>
      <c r="I109" s="116">
        <f t="shared" si="4"/>
        <v>0.000398845111243955</v>
      </c>
      <c r="J109" s="116">
        <f t="shared" si="5"/>
        <v>0.00400133690377358</v>
      </c>
      <c r="K109" s="116">
        <f t="shared" si="6"/>
        <v>0.23625</v>
      </c>
      <c r="L109" s="89">
        <v>500</v>
      </c>
      <c r="M109" s="117">
        <v>2100</v>
      </c>
      <c r="N109" s="118">
        <v>45.6</v>
      </c>
      <c r="O109" s="89">
        <f t="shared" si="7"/>
        <v>8</v>
      </c>
      <c r="P109" s="119">
        <v>297</v>
      </c>
      <c r="Q109" s="90" t="s">
        <v>90</v>
      </c>
      <c r="S109" s="117"/>
      <c r="T109" s="118"/>
      <c r="U109" s="89"/>
    </row>
    <row r="110" spans="1:21">
      <c r="A110" s="88">
        <v>109</v>
      </c>
      <c r="B110" s="89" t="s">
        <v>198</v>
      </c>
      <c r="C110" s="89">
        <v>12</v>
      </c>
      <c r="D110" s="89">
        <v>7</v>
      </c>
      <c r="E110" s="89" t="str">
        <f t="shared" si="3"/>
        <v>Bus12</v>
      </c>
      <c r="F110" s="89" t="str">
        <f t="shared" si="3"/>
        <v>Bus7</v>
      </c>
      <c r="G110" s="89">
        <v>1</v>
      </c>
      <c r="H110" s="89">
        <v>1</v>
      </c>
      <c r="I110" s="116">
        <f t="shared" si="4"/>
        <v>0.000232588549472082</v>
      </c>
      <c r="J110" s="116">
        <f t="shared" si="5"/>
        <v>0.0042619131779695</v>
      </c>
      <c r="K110" s="116">
        <f t="shared" si="6"/>
        <v>0.30706</v>
      </c>
      <c r="L110" s="89">
        <v>500</v>
      </c>
      <c r="M110" s="117">
        <v>1450.75</v>
      </c>
      <c r="N110" s="118">
        <v>51</v>
      </c>
      <c r="O110" s="89">
        <f t="shared" si="7"/>
        <v>8</v>
      </c>
      <c r="P110" s="119">
        <v>297</v>
      </c>
      <c r="Q110" s="90" t="s">
        <v>90</v>
      </c>
      <c r="S110" s="117"/>
      <c r="T110" s="118"/>
      <c r="U110" s="89"/>
    </row>
    <row r="111" spans="1:21">
      <c r="A111" s="88">
        <v>110</v>
      </c>
      <c r="B111" s="89" t="s">
        <v>199</v>
      </c>
      <c r="C111" s="89">
        <v>14</v>
      </c>
      <c r="D111" s="89">
        <v>9</v>
      </c>
      <c r="E111" s="89" t="str">
        <f t="shared" si="3"/>
        <v>Bus14</v>
      </c>
      <c r="F111" s="89" t="str">
        <f t="shared" si="3"/>
        <v>Bus9</v>
      </c>
      <c r="G111" s="89">
        <v>1</v>
      </c>
      <c r="H111" s="89">
        <v>1</v>
      </c>
      <c r="I111" s="116">
        <f t="shared" si="4"/>
        <v>0.000659848484848485</v>
      </c>
      <c r="J111" s="116">
        <f t="shared" si="5"/>
        <v>0.0121449979415397</v>
      </c>
      <c r="K111" s="116">
        <f t="shared" si="6"/>
        <v>0.791435</v>
      </c>
      <c r="L111" s="89">
        <v>500</v>
      </c>
      <c r="M111" s="117">
        <v>1879.5</v>
      </c>
      <c r="N111" s="118">
        <v>86.4</v>
      </c>
      <c r="O111" s="89">
        <f t="shared" si="7"/>
        <v>4</v>
      </c>
      <c r="P111" s="119">
        <v>297</v>
      </c>
      <c r="Q111" s="90" t="s">
        <v>90</v>
      </c>
      <c r="S111" s="117"/>
      <c r="T111" s="118"/>
      <c r="U111" s="89"/>
    </row>
    <row r="112" spans="1:21">
      <c r="A112" s="88">
        <v>111</v>
      </c>
      <c r="B112" s="89" t="s">
        <v>200</v>
      </c>
      <c r="C112" s="89">
        <v>11</v>
      </c>
      <c r="D112" s="89">
        <v>16</v>
      </c>
      <c r="E112" s="89" t="str">
        <f t="shared" si="3"/>
        <v>Bus11</v>
      </c>
      <c r="F112" s="89" t="str">
        <f t="shared" si="3"/>
        <v>Bus16</v>
      </c>
      <c r="G112" s="89">
        <v>1</v>
      </c>
      <c r="H112" s="89">
        <v>1</v>
      </c>
      <c r="I112" s="116">
        <f t="shared" si="4"/>
        <v>0.00024</v>
      </c>
      <c r="J112" s="116">
        <f t="shared" si="5"/>
        <v>0.00294</v>
      </c>
      <c r="K112" s="116">
        <f t="shared" si="6"/>
        <v>0.19223</v>
      </c>
      <c r="L112" s="89">
        <v>500</v>
      </c>
      <c r="M112" s="117">
        <v>1522.5</v>
      </c>
      <c r="N112" s="118">
        <v>103</v>
      </c>
      <c r="O112" s="89">
        <f t="shared" si="7"/>
        <v>4</v>
      </c>
      <c r="P112" s="119">
        <v>297</v>
      </c>
      <c r="Q112" s="90" t="s">
        <v>90</v>
      </c>
      <c r="S112" s="117"/>
      <c r="T112" s="118"/>
      <c r="U112" s="89"/>
    </row>
    <row r="113" spans="1:21">
      <c r="A113" s="88">
        <v>112</v>
      </c>
      <c r="B113" s="89" t="s">
        <v>201</v>
      </c>
      <c r="C113" s="89">
        <v>13</v>
      </c>
      <c r="D113" s="89">
        <v>9</v>
      </c>
      <c r="E113" s="89" t="str">
        <f t="shared" si="3"/>
        <v>Bus13</v>
      </c>
      <c r="F113" s="89" t="str">
        <f t="shared" si="3"/>
        <v>Bus9</v>
      </c>
      <c r="G113" s="89">
        <v>1</v>
      </c>
      <c r="H113" s="89">
        <v>1</v>
      </c>
      <c r="I113" s="116">
        <f t="shared" si="4"/>
        <v>0.000284210526315789</v>
      </c>
      <c r="J113" s="116">
        <f t="shared" si="5"/>
        <v>0.00611283728536386</v>
      </c>
      <c r="K113" s="116">
        <f t="shared" si="6"/>
        <v>0.387925</v>
      </c>
      <c r="L113" s="89">
        <v>500</v>
      </c>
      <c r="M113" s="117">
        <v>1254.75</v>
      </c>
      <c r="N113" s="118">
        <v>125.666666666667</v>
      </c>
      <c r="O113" s="89">
        <f t="shared" si="7"/>
        <v>4</v>
      </c>
      <c r="P113" s="119">
        <v>297</v>
      </c>
      <c r="Q113" s="90" t="s">
        <v>90</v>
      </c>
      <c r="S113" s="117"/>
      <c r="T113" s="118"/>
      <c r="U113" s="89"/>
    </row>
    <row r="114" spans="1:21">
      <c r="A114" s="88">
        <v>113</v>
      </c>
      <c r="B114" s="89" t="s">
        <v>202</v>
      </c>
      <c r="C114" s="89">
        <v>18</v>
      </c>
      <c r="D114" s="89">
        <v>21</v>
      </c>
      <c r="E114" s="89" t="str">
        <f t="shared" si="3"/>
        <v>Bus18</v>
      </c>
      <c r="F114" s="89" t="str">
        <f t="shared" si="3"/>
        <v>Bus21</v>
      </c>
      <c r="G114" s="89">
        <v>1</v>
      </c>
      <c r="H114" s="89">
        <v>1</v>
      </c>
      <c r="I114" s="116">
        <f t="shared" si="4"/>
        <v>0.00057</v>
      </c>
      <c r="J114" s="116">
        <f t="shared" si="5"/>
        <v>0.01297</v>
      </c>
      <c r="K114" s="116">
        <f t="shared" si="6"/>
        <v>0.75029</v>
      </c>
      <c r="L114" s="89">
        <v>500</v>
      </c>
      <c r="M114" s="117">
        <v>1549.8</v>
      </c>
      <c r="N114" s="118">
        <v>55.75</v>
      </c>
      <c r="O114" s="89">
        <f t="shared" si="7"/>
        <v>4</v>
      </c>
      <c r="P114" s="119">
        <v>297</v>
      </c>
      <c r="Q114" s="90" t="s">
        <v>90</v>
      </c>
      <c r="S114" s="117"/>
      <c r="T114" s="118"/>
      <c r="U114" s="89"/>
    </row>
    <row r="115" spans="1:21">
      <c r="A115" s="88">
        <v>114</v>
      </c>
      <c r="B115" s="89" t="s">
        <v>203</v>
      </c>
      <c r="C115" s="89">
        <v>19</v>
      </c>
      <c r="D115" s="89">
        <v>20</v>
      </c>
      <c r="E115" s="89" t="str">
        <f t="shared" si="3"/>
        <v>Bus19</v>
      </c>
      <c r="F115" s="89" t="str">
        <f t="shared" si="3"/>
        <v>Bus20</v>
      </c>
      <c r="G115" s="89">
        <v>1</v>
      </c>
      <c r="H115" s="89">
        <v>1</v>
      </c>
      <c r="I115" s="116">
        <f t="shared" si="4"/>
        <v>0.000336616403972156</v>
      </c>
      <c r="J115" s="116">
        <f t="shared" si="5"/>
        <v>0.00586599081503043</v>
      </c>
      <c r="K115" s="116">
        <f t="shared" si="6"/>
        <v>0.38957</v>
      </c>
      <c r="L115" s="89">
        <v>500</v>
      </c>
      <c r="M115" s="117">
        <v>1768.9</v>
      </c>
      <c r="N115" s="118">
        <v>40.3666666666667</v>
      </c>
      <c r="O115" s="89">
        <f t="shared" si="7"/>
        <v>8</v>
      </c>
      <c r="P115" s="119">
        <v>297</v>
      </c>
      <c r="Q115" s="90" t="s">
        <v>90</v>
      </c>
      <c r="S115" s="117"/>
      <c r="T115" s="118"/>
      <c r="U115" s="89"/>
    </row>
    <row r="116" spans="1:21">
      <c r="A116" s="88">
        <v>115</v>
      </c>
      <c r="B116" s="89" t="s">
        <v>204</v>
      </c>
      <c r="C116" s="89">
        <v>20</v>
      </c>
      <c r="D116" s="89">
        <v>22</v>
      </c>
      <c r="E116" s="89" t="str">
        <f t="shared" si="3"/>
        <v>Bus20</v>
      </c>
      <c r="F116" s="89" t="str">
        <f t="shared" si="3"/>
        <v>Bus22</v>
      </c>
      <c r="G116" s="89">
        <v>1</v>
      </c>
      <c r="H116" s="89">
        <v>1</v>
      </c>
      <c r="I116" s="116">
        <f t="shared" si="4"/>
        <v>0.000481492131950884</v>
      </c>
      <c r="J116" s="116">
        <f t="shared" si="5"/>
        <v>0.00746429000504676</v>
      </c>
      <c r="K116" s="116">
        <f t="shared" si="6"/>
        <v>0.490645</v>
      </c>
      <c r="L116" s="89">
        <v>500</v>
      </c>
      <c r="M116" s="117">
        <v>1776.425</v>
      </c>
      <c r="N116" s="118">
        <v>44.1666666666667</v>
      </c>
      <c r="O116" s="89">
        <f t="shared" si="7"/>
        <v>8</v>
      </c>
      <c r="P116" s="119">
        <v>297</v>
      </c>
      <c r="Q116" s="90" t="s">
        <v>90</v>
      </c>
      <c r="S116" s="117"/>
      <c r="T116" s="118"/>
      <c r="U116" s="89"/>
    </row>
    <row r="117" spans="1:21">
      <c r="A117" s="88">
        <v>116</v>
      </c>
      <c r="B117" s="89" t="s">
        <v>205</v>
      </c>
      <c r="C117" s="89">
        <v>18</v>
      </c>
      <c r="D117" s="89">
        <v>19</v>
      </c>
      <c r="E117" s="89" t="str">
        <f t="shared" si="3"/>
        <v>Bus18</v>
      </c>
      <c r="F117" s="89" t="str">
        <f t="shared" si="3"/>
        <v>Bus19</v>
      </c>
      <c r="G117" s="89">
        <v>1</v>
      </c>
      <c r="H117" s="89">
        <v>1</v>
      </c>
      <c r="I117" s="116">
        <f t="shared" si="4"/>
        <v>0.0002</v>
      </c>
      <c r="J117" s="116">
        <f t="shared" si="5"/>
        <v>0.00463</v>
      </c>
      <c r="K117" s="116">
        <f t="shared" si="6"/>
        <v>0.26796</v>
      </c>
      <c r="L117" s="89">
        <v>500</v>
      </c>
      <c r="M117" s="117">
        <v>1877.4</v>
      </c>
      <c r="N117" s="118">
        <v>35.75</v>
      </c>
      <c r="O117" s="89">
        <f t="shared" si="7"/>
        <v>4</v>
      </c>
      <c r="P117" s="119">
        <v>297</v>
      </c>
      <c r="Q117" s="90" t="s">
        <v>90</v>
      </c>
      <c r="S117" s="117"/>
      <c r="T117" s="118"/>
      <c r="U117" s="89"/>
    </row>
    <row r="118" spans="1:21">
      <c r="A118" s="88">
        <v>117</v>
      </c>
      <c r="B118" s="89" t="s">
        <v>206</v>
      </c>
      <c r="C118" s="89">
        <v>24</v>
      </c>
      <c r="D118" s="89">
        <v>25</v>
      </c>
      <c r="E118" s="89" t="str">
        <f t="shared" si="3"/>
        <v>Bus24</v>
      </c>
      <c r="F118" s="89" t="str">
        <f t="shared" si="3"/>
        <v>Bus25</v>
      </c>
      <c r="G118" s="89">
        <v>1</v>
      </c>
      <c r="H118" s="89">
        <v>1</v>
      </c>
      <c r="I118" s="116">
        <f t="shared" si="4"/>
        <v>0.00017</v>
      </c>
      <c r="J118" s="116">
        <f t="shared" si="5"/>
        <v>0.00366</v>
      </c>
      <c r="K118" s="116">
        <f t="shared" si="6"/>
        <v>0.27811</v>
      </c>
      <c r="L118" s="89">
        <v>500</v>
      </c>
      <c r="M118" s="117">
        <v>1010.23125</v>
      </c>
      <c r="N118" s="118">
        <v>47.25</v>
      </c>
      <c r="O118" s="89">
        <f t="shared" si="7"/>
        <v>4</v>
      </c>
      <c r="P118" s="119">
        <v>297</v>
      </c>
      <c r="Q118" s="90" t="s">
        <v>90</v>
      </c>
      <c r="S118" s="117"/>
      <c r="T118" s="118"/>
      <c r="U118" s="89"/>
    </row>
    <row r="119" spans="1:21">
      <c r="A119" s="88">
        <v>118</v>
      </c>
      <c r="B119" s="89" t="s">
        <v>207</v>
      </c>
      <c r="C119" s="89">
        <v>19</v>
      </c>
      <c r="D119" s="89">
        <v>25</v>
      </c>
      <c r="E119" s="89" t="str">
        <f t="shared" si="3"/>
        <v>Bus19</v>
      </c>
      <c r="F119" s="89" t="str">
        <f t="shared" si="3"/>
        <v>Bus25</v>
      </c>
      <c r="G119" s="89">
        <v>1</v>
      </c>
      <c r="H119" s="89">
        <v>1</v>
      </c>
      <c r="I119" s="116">
        <f t="shared" si="4"/>
        <v>0.000348857142857143</v>
      </c>
      <c r="J119" s="116">
        <f t="shared" si="5"/>
        <v>0.00705499645641389</v>
      </c>
      <c r="K119" s="116">
        <f t="shared" si="6"/>
        <v>0.461655</v>
      </c>
      <c r="L119" s="89">
        <v>500</v>
      </c>
      <c r="M119" s="117">
        <v>1830.15</v>
      </c>
      <c r="N119" s="118">
        <v>49.625</v>
      </c>
      <c r="O119" s="89">
        <f t="shared" si="7"/>
        <v>4</v>
      </c>
      <c r="P119" s="119">
        <v>297</v>
      </c>
      <c r="Q119" s="90" t="s">
        <v>90</v>
      </c>
      <c r="S119" s="117"/>
      <c r="T119" s="118"/>
      <c r="U119" s="89"/>
    </row>
    <row r="120" spans="1:21">
      <c r="A120" s="88">
        <v>119</v>
      </c>
      <c r="B120" s="89" t="s">
        <v>208</v>
      </c>
      <c r="C120" s="89">
        <v>28</v>
      </c>
      <c r="D120" s="89">
        <v>18</v>
      </c>
      <c r="E120" s="89" t="str">
        <f t="shared" si="3"/>
        <v>Bus28</v>
      </c>
      <c r="F120" s="89" t="str">
        <f t="shared" si="3"/>
        <v>Bus18</v>
      </c>
      <c r="G120" s="89">
        <v>1</v>
      </c>
      <c r="H120" s="89">
        <v>1</v>
      </c>
      <c r="I120" s="116">
        <f t="shared" si="4"/>
        <v>0.000472133710321048</v>
      </c>
      <c r="J120" s="116">
        <f t="shared" si="5"/>
        <v>0.00571973691606724</v>
      </c>
      <c r="K120" s="116">
        <f t="shared" si="6"/>
        <v>0.3776925</v>
      </c>
      <c r="L120" s="89">
        <v>500</v>
      </c>
      <c r="M120" s="117">
        <v>1654.8</v>
      </c>
      <c r="N120" s="118">
        <v>125</v>
      </c>
      <c r="O120" s="89">
        <f t="shared" si="7"/>
        <v>8</v>
      </c>
      <c r="P120" s="119">
        <v>297</v>
      </c>
      <c r="Q120" s="90" t="s">
        <v>90</v>
      </c>
      <c r="S120" s="117"/>
      <c r="T120" s="118"/>
      <c r="U120" s="89"/>
    </row>
    <row r="121" spans="1:21">
      <c r="A121" s="88">
        <v>120</v>
      </c>
      <c r="B121" s="89" t="s">
        <v>209</v>
      </c>
      <c r="C121" s="89">
        <v>26</v>
      </c>
      <c r="D121" s="89">
        <v>22</v>
      </c>
      <c r="E121" s="89" t="str">
        <f t="shared" si="3"/>
        <v>Bus26</v>
      </c>
      <c r="F121" s="89" t="str">
        <f t="shared" si="3"/>
        <v>Bus22</v>
      </c>
      <c r="G121" s="89">
        <v>1</v>
      </c>
      <c r="H121" s="89">
        <v>1</v>
      </c>
      <c r="I121" s="116">
        <f t="shared" si="4"/>
        <v>0.000162065613608749</v>
      </c>
      <c r="J121" s="116">
        <f t="shared" si="5"/>
        <v>0.00280913268537362</v>
      </c>
      <c r="K121" s="116">
        <f t="shared" si="6"/>
        <v>0.18041</v>
      </c>
      <c r="L121" s="89">
        <v>500</v>
      </c>
      <c r="M121" s="117">
        <v>1243.2</v>
      </c>
      <c r="N121" s="118">
        <v>30.2</v>
      </c>
      <c r="O121" s="89">
        <f t="shared" si="7"/>
        <v>6</v>
      </c>
      <c r="P121" s="119">
        <v>297</v>
      </c>
      <c r="Q121" s="90" t="s">
        <v>90</v>
      </c>
      <c r="S121" s="117"/>
      <c r="T121" s="118"/>
      <c r="U121" s="89"/>
    </row>
    <row r="122" spans="1:21">
      <c r="A122" s="88">
        <v>121</v>
      </c>
      <c r="B122" s="89" t="s">
        <v>210</v>
      </c>
      <c r="C122" s="89">
        <v>25</v>
      </c>
      <c r="D122" s="89">
        <v>28</v>
      </c>
      <c r="E122" s="89" t="str">
        <f t="shared" si="3"/>
        <v>Bus25</v>
      </c>
      <c r="F122" s="89" t="str">
        <f t="shared" si="3"/>
        <v>Bus28</v>
      </c>
      <c r="G122" s="89">
        <v>1</v>
      </c>
      <c r="H122" s="89">
        <v>1</v>
      </c>
      <c r="I122" s="116">
        <f t="shared" si="4"/>
        <v>0.00041</v>
      </c>
      <c r="J122" s="116">
        <f t="shared" si="5"/>
        <v>0.00678</v>
      </c>
      <c r="K122" s="116">
        <f t="shared" si="6"/>
        <v>0.51673</v>
      </c>
      <c r="L122" s="89">
        <v>500</v>
      </c>
      <c r="M122" s="117">
        <v>1654.8</v>
      </c>
      <c r="N122" s="118">
        <v>63.05</v>
      </c>
      <c r="O122" s="89">
        <f t="shared" si="7"/>
        <v>2</v>
      </c>
      <c r="P122" s="119">
        <v>297</v>
      </c>
      <c r="Q122" s="90" t="s">
        <v>90</v>
      </c>
      <c r="S122" s="117"/>
      <c r="T122" s="118"/>
      <c r="U122" s="89"/>
    </row>
    <row r="123" spans="1:21">
      <c r="A123" s="88">
        <v>122</v>
      </c>
      <c r="B123" s="89" t="s">
        <v>211</v>
      </c>
      <c r="C123" s="89">
        <v>21</v>
      </c>
      <c r="D123" s="89">
        <v>27</v>
      </c>
      <c r="E123" s="89" t="str">
        <f t="shared" si="3"/>
        <v>Bus21</v>
      </c>
      <c r="F123" s="89" t="str">
        <f t="shared" si="3"/>
        <v>Bus27</v>
      </c>
      <c r="G123" s="89">
        <v>1</v>
      </c>
      <c r="H123" s="89">
        <v>1</v>
      </c>
      <c r="I123" s="116">
        <f t="shared" si="4"/>
        <v>0.00026805816109048</v>
      </c>
      <c r="J123" s="116">
        <f t="shared" si="5"/>
        <v>0.00715714285714286</v>
      </c>
      <c r="K123" s="116">
        <f t="shared" si="6"/>
        <v>0.432332857142857</v>
      </c>
      <c r="L123" s="89">
        <v>500</v>
      </c>
      <c r="M123" s="117">
        <v>1569.75</v>
      </c>
      <c r="N123" s="118">
        <v>130</v>
      </c>
      <c r="O123" s="89">
        <f t="shared" si="7"/>
        <v>14</v>
      </c>
      <c r="P123" s="119">
        <v>297</v>
      </c>
      <c r="Q123" s="90" t="s">
        <v>90</v>
      </c>
      <c r="S123" s="117"/>
      <c r="T123" s="118"/>
      <c r="U123" s="89"/>
    </row>
    <row r="124" spans="1:21">
      <c r="A124" s="88">
        <v>123</v>
      </c>
      <c r="B124" s="89" t="s">
        <v>212</v>
      </c>
      <c r="C124" s="89">
        <v>28</v>
      </c>
      <c r="D124" s="89">
        <v>23</v>
      </c>
      <c r="E124" s="89" t="str">
        <f t="shared" si="3"/>
        <v>Bus28</v>
      </c>
      <c r="F124" s="89" t="str">
        <f t="shared" si="3"/>
        <v>Bus23</v>
      </c>
      <c r="G124" s="89">
        <v>1</v>
      </c>
      <c r="H124" s="89">
        <v>1</v>
      </c>
      <c r="I124" s="116">
        <f t="shared" si="4"/>
        <v>0.000356108566778666</v>
      </c>
      <c r="J124" s="116">
        <f t="shared" si="5"/>
        <v>0.00350649591330211</v>
      </c>
      <c r="K124" s="116">
        <f t="shared" si="6"/>
        <v>0.24468</v>
      </c>
      <c r="L124" s="89">
        <v>500</v>
      </c>
      <c r="M124" s="117">
        <v>1602.3</v>
      </c>
      <c r="N124" s="118">
        <v>63.15</v>
      </c>
      <c r="O124" s="89">
        <f t="shared" si="7"/>
        <v>4</v>
      </c>
      <c r="P124" s="119">
        <v>297</v>
      </c>
      <c r="Q124" s="90" t="s">
        <v>90</v>
      </c>
      <c r="S124" s="117"/>
      <c r="T124" s="118"/>
      <c r="U124" s="89"/>
    </row>
    <row r="125" spans="1:21">
      <c r="A125" s="88">
        <v>124</v>
      </c>
      <c r="B125" s="89" t="s">
        <v>213</v>
      </c>
      <c r="C125" s="89">
        <v>27</v>
      </c>
      <c r="D125" s="89">
        <v>18</v>
      </c>
      <c r="E125" s="89" t="str">
        <f t="shared" si="3"/>
        <v>Bus27</v>
      </c>
      <c r="F125" s="89" t="str">
        <f t="shared" si="3"/>
        <v>Bus18</v>
      </c>
      <c r="G125" s="89">
        <v>1</v>
      </c>
      <c r="H125" s="89">
        <v>1</v>
      </c>
      <c r="I125" s="116">
        <f t="shared" si="4"/>
        <v>0.000235803429562279</v>
      </c>
      <c r="J125" s="116">
        <f t="shared" si="5"/>
        <v>0.00471364898941691</v>
      </c>
      <c r="K125" s="116">
        <f t="shared" si="6"/>
        <v>0.2995</v>
      </c>
      <c r="L125" s="89">
        <v>500</v>
      </c>
      <c r="M125" s="117">
        <v>1817.55</v>
      </c>
      <c r="N125" s="118">
        <v>78.8</v>
      </c>
      <c r="O125" s="89">
        <f t="shared" si="7"/>
        <v>6</v>
      </c>
      <c r="P125" s="119">
        <v>297</v>
      </c>
      <c r="Q125" s="90" t="s">
        <v>90</v>
      </c>
      <c r="S125" s="117"/>
      <c r="T125" s="118"/>
      <c r="U125" s="89"/>
    </row>
    <row r="126" spans="1:21">
      <c r="A126" s="88">
        <v>125</v>
      </c>
      <c r="B126" s="89" t="s">
        <v>214</v>
      </c>
      <c r="C126" s="89">
        <v>20</v>
      </c>
      <c r="D126" s="89">
        <v>18</v>
      </c>
      <c r="E126" s="89" t="str">
        <f t="shared" si="3"/>
        <v>Bus20</v>
      </c>
      <c r="F126" s="89" t="str">
        <f t="shared" si="3"/>
        <v>Bus18</v>
      </c>
      <c r="G126" s="89">
        <v>1</v>
      </c>
      <c r="H126" s="89">
        <v>1</v>
      </c>
      <c r="I126" s="116">
        <f t="shared" si="4"/>
        <v>0.000766911508854388</v>
      </c>
      <c r="J126" s="116">
        <f t="shared" si="5"/>
        <v>0.0106479031423492</v>
      </c>
      <c r="K126" s="116">
        <f t="shared" si="6"/>
        <v>0.616045</v>
      </c>
      <c r="L126" s="89">
        <v>500</v>
      </c>
      <c r="M126" s="117">
        <v>1654.8</v>
      </c>
      <c r="N126" s="118">
        <v>46.5</v>
      </c>
      <c r="O126" s="89">
        <f t="shared" si="7"/>
        <v>12</v>
      </c>
      <c r="P126" s="119">
        <v>297</v>
      </c>
      <c r="Q126" s="90" t="s">
        <v>90</v>
      </c>
      <c r="S126" s="117"/>
      <c r="T126" s="118"/>
      <c r="U126" s="89"/>
    </row>
    <row r="127" spans="1:21">
      <c r="A127" s="88">
        <v>126</v>
      </c>
      <c r="B127" s="89" t="s">
        <v>215</v>
      </c>
      <c r="C127" s="89">
        <v>26</v>
      </c>
      <c r="D127" s="89">
        <v>20</v>
      </c>
      <c r="E127" s="89" t="str">
        <f t="shared" si="3"/>
        <v>Bus26</v>
      </c>
      <c r="F127" s="89" t="str">
        <f t="shared" si="3"/>
        <v>Bus20</v>
      </c>
      <c r="G127" s="89">
        <v>1</v>
      </c>
      <c r="H127" s="89">
        <v>1</v>
      </c>
      <c r="I127" s="116">
        <f t="shared" si="4"/>
        <v>0.000694676258992806</v>
      </c>
      <c r="J127" s="116">
        <f t="shared" si="5"/>
        <v>0.0125949027391822</v>
      </c>
      <c r="K127" s="116">
        <f t="shared" si="6"/>
        <v>0.803255</v>
      </c>
      <c r="L127" s="89">
        <v>500</v>
      </c>
      <c r="M127" s="117">
        <v>1955.1</v>
      </c>
      <c r="N127" s="118">
        <v>42.4</v>
      </c>
      <c r="O127" s="89">
        <f t="shared" si="7"/>
        <v>4</v>
      </c>
      <c r="P127" s="119">
        <v>297</v>
      </c>
      <c r="Q127" s="90" t="s">
        <v>90</v>
      </c>
      <c r="S127" s="117"/>
      <c r="T127" s="118"/>
      <c r="U127" s="89"/>
    </row>
    <row r="128" spans="1:21">
      <c r="A128" s="88">
        <v>127</v>
      </c>
      <c r="B128" s="89" t="s">
        <v>216</v>
      </c>
      <c r="C128" s="89">
        <v>21</v>
      </c>
      <c r="D128" s="89">
        <v>23</v>
      </c>
      <c r="E128" s="89" t="str">
        <f t="shared" si="3"/>
        <v>Bus21</v>
      </c>
      <c r="F128" s="89" t="str">
        <f t="shared" si="3"/>
        <v>Bus23</v>
      </c>
      <c r="G128" s="89">
        <v>1</v>
      </c>
      <c r="H128" s="89">
        <v>1</v>
      </c>
      <c r="I128" s="116">
        <f t="shared" si="4"/>
        <v>0.00122991869918699</v>
      </c>
      <c r="J128" s="116">
        <f t="shared" si="5"/>
        <v>0.013949935483871</v>
      </c>
      <c r="K128" s="116">
        <f t="shared" si="6"/>
        <v>0.82191</v>
      </c>
      <c r="L128" s="89">
        <v>500</v>
      </c>
      <c r="M128" s="117">
        <v>2100</v>
      </c>
      <c r="N128" s="118">
        <v>72.5</v>
      </c>
      <c r="O128" s="89">
        <f t="shared" si="7"/>
        <v>4</v>
      </c>
      <c r="P128" s="119">
        <v>297</v>
      </c>
      <c r="Q128" s="90" t="s">
        <v>90</v>
      </c>
      <c r="S128" s="117"/>
      <c r="T128" s="118"/>
      <c r="U128" s="89"/>
    </row>
    <row r="129" spans="1:21">
      <c r="A129" s="88">
        <v>128</v>
      </c>
      <c r="B129" s="89" t="s">
        <v>217</v>
      </c>
      <c r="C129" s="89">
        <v>32</v>
      </c>
      <c r="D129" s="89">
        <v>30</v>
      </c>
      <c r="E129" s="89" t="str">
        <f t="shared" si="3"/>
        <v>Bus32</v>
      </c>
      <c r="F129" s="89" t="str">
        <f t="shared" si="3"/>
        <v>Bus30</v>
      </c>
      <c r="G129" s="89">
        <v>1</v>
      </c>
      <c r="H129" s="89">
        <v>1</v>
      </c>
      <c r="I129" s="116">
        <f t="shared" si="4"/>
        <v>0.000232859546271325</v>
      </c>
      <c r="J129" s="116">
        <f t="shared" si="5"/>
        <v>0.00519</v>
      </c>
      <c r="K129" s="116">
        <f t="shared" si="6"/>
        <v>0.322736666666667</v>
      </c>
      <c r="L129" s="89">
        <v>500</v>
      </c>
      <c r="M129" s="117">
        <v>1547.4375</v>
      </c>
      <c r="N129" s="118">
        <v>60.45</v>
      </c>
      <c r="O129" s="89">
        <f t="shared" si="7"/>
        <v>6</v>
      </c>
      <c r="P129" s="119">
        <v>297</v>
      </c>
      <c r="Q129" s="90" t="s">
        <v>90</v>
      </c>
      <c r="S129" s="117"/>
      <c r="T129" s="118"/>
      <c r="U129" s="89"/>
    </row>
    <row r="130" spans="1:21">
      <c r="A130" s="88">
        <v>129</v>
      </c>
      <c r="B130" s="89" t="s">
        <v>218</v>
      </c>
      <c r="C130" s="89">
        <v>31</v>
      </c>
      <c r="D130" s="89">
        <v>29</v>
      </c>
      <c r="E130" s="89" t="str">
        <f t="shared" si="3"/>
        <v>Bus31</v>
      </c>
      <c r="F130" s="89" t="str">
        <f t="shared" si="3"/>
        <v>Bus29</v>
      </c>
      <c r="G130" s="89">
        <v>1</v>
      </c>
      <c r="H130" s="89">
        <v>1</v>
      </c>
      <c r="I130" s="116">
        <f t="shared" si="4"/>
        <v>0.000680380306576995</v>
      </c>
      <c r="J130" s="116">
        <f t="shared" si="5"/>
        <v>0.00927911735645172</v>
      </c>
      <c r="K130" s="116">
        <f t="shared" si="6"/>
        <v>0.57197625</v>
      </c>
      <c r="L130" s="89">
        <v>500</v>
      </c>
      <c r="M130" s="117">
        <v>2021.25</v>
      </c>
      <c r="N130" s="118">
        <v>29.3333333333333</v>
      </c>
      <c r="O130" s="89">
        <f t="shared" si="7"/>
        <v>16</v>
      </c>
      <c r="P130" s="119">
        <v>297</v>
      </c>
      <c r="Q130" s="90" t="s">
        <v>90</v>
      </c>
      <c r="S130" s="117"/>
      <c r="T130" s="118"/>
      <c r="U130" s="89"/>
    </row>
    <row r="131" spans="1:21">
      <c r="A131" s="88">
        <v>130</v>
      </c>
      <c r="B131" s="89" t="s">
        <v>219</v>
      </c>
      <c r="C131" s="89">
        <v>31</v>
      </c>
      <c r="D131" s="89">
        <v>36</v>
      </c>
      <c r="E131" s="89" t="str">
        <f t="shared" si="3"/>
        <v>Bus31</v>
      </c>
      <c r="F131" s="89" t="str">
        <f t="shared" si="3"/>
        <v>Bus36</v>
      </c>
      <c r="G131" s="89">
        <v>1</v>
      </c>
      <c r="H131" s="89">
        <v>1</v>
      </c>
      <c r="I131" s="116">
        <f t="shared" si="4"/>
        <v>0.000459130434782609</v>
      </c>
      <c r="J131" s="116">
        <f t="shared" si="5"/>
        <v>0.00784994904458599</v>
      </c>
      <c r="K131" s="116">
        <f t="shared" si="6"/>
        <v>0.496295</v>
      </c>
      <c r="L131" s="89">
        <v>500</v>
      </c>
      <c r="M131" s="117">
        <v>2100</v>
      </c>
      <c r="N131" s="118">
        <v>70.3</v>
      </c>
      <c r="O131" s="89">
        <f t="shared" si="7"/>
        <v>4</v>
      </c>
      <c r="P131" s="119">
        <v>297</v>
      </c>
      <c r="Q131" s="90" t="s">
        <v>90</v>
      </c>
      <c r="S131" s="117"/>
      <c r="T131" s="118"/>
      <c r="U131" s="89"/>
    </row>
    <row r="132" spans="1:21">
      <c r="A132" s="88">
        <v>131</v>
      </c>
      <c r="B132" s="89" t="s">
        <v>220</v>
      </c>
      <c r="C132" s="89">
        <v>29</v>
      </c>
      <c r="D132" s="89">
        <v>30</v>
      </c>
      <c r="E132" s="89" t="str">
        <f t="shared" si="3"/>
        <v>Bus29</v>
      </c>
      <c r="F132" s="89" t="str">
        <f t="shared" si="3"/>
        <v>Bus30</v>
      </c>
      <c r="G132" s="89">
        <v>1</v>
      </c>
      <c r="H132" s="89">
        <v>1</v>
      </c>
      <c r="I132" s="116">
        <f t="shared" si="4"/>
        <v>0.000289818466531459</v>
      </c>
      <c r="J132" s="116">
        <f t="shared" si="5"/>
        <v>0.00693285714285714</v>
      </c>
      <c r="K132" s="116">
        <f t="shared" si="6"/>
        <v>0.421965714285714</v>
      </c>
      <c r="L132" s="89">
        <v>500</v>
      </c>
      <c r="M132" s="117">
        <v>2370.3</v>
      </c>
      <c r="N132" s="118">
        <v>71.5714285714286</v>
      </c>
      <c r="O132" s="89">
        <f t="shared" si="7"/>
        <v>14</v>
      </c>
      <c r="P132" s="119">
        <v>297</v>
      </c>
      <c r="Q132" s="90" t="s">
        <v>90</v>
      </c>
      <c r="S132" s="117"/>
      <c r="T132" s="118"/>
      <c r="U132" s="89"/>
    </row>
    <row r="133" spans="1:21">
      <c r="A133" s="88">
        <v>132</v>
      </c>
      <c r="B133" s="89" t="s">
        <v>221</v>
      </c>
      <c r="C133" s="89">
        <v>34</v>
      </c>
      <c r="D133" s="89">
        <v>30</v>
      </c>
      <c r="E133" s="89" t="str">
        <f t="shared" si="3"/>
        <v>Bus34</v>
      </c>
      <c r="F133" s="89" t="str">
        <f t="shared" si="3"/>
        <v>Bus30</v>
      </c>
      <c r="G133" s="89">
        <v>1</v>
      </c>
      <c r="H133" s="89">
        <v>1</v>
      </c>
      <c r="I133" s="116">
        <f t="shared" si="4"/>
        <v>0.000309253890878718</v>
      </c>
      <c r="J133" s="116">
        <f t="shared" si="5"/>
        <v>0.00525041775020855</v>
      </c>
      <c r="K133" s="116">
        <f t="shared" si="6"/>
        <v>0.35181</v>
      </c>
      <c r="L133" s="89">
        <v>500</v>
      </c>
      <c r="M133" s="117">
        <v>1677.375</v>
      </c>
      <c r="N133" s="118">
        <v>41</v>
      </c>
      <c r="O133" s="89">
        <f t="shared" si="7"/>
        <v>12</v>
      </c>
      <c r="P133" s="119">
        <v>297</v>
      </c>
      <c r="Q133" s="90" t="s">
        <v>90</v>
      </c>
      <c r="S133" s="117"/>
      <c r="T133" s="118"/>
      <c r="U133" s="89"/>
    </row>
    <row r="134" spans="1:21">
      <c r="A134" s="88">
        <v>133</v>
      </c>
      <c r="B134" s="89" t="s">
        <v>222</v>
      </c>
      <c r="C134" s="89">
        <v>34</v>
      </c>
      <c r="D134" s="89">
        <v>29</v>
      </c>
      <c r="E134" s="89" t="str">
        <f t="shared" si="3"/>
        <v>Bus34</v>
      </c>
      <c r="F134" s="89" t="str">
        <f t="shared" si="3"/>
        <v>Bus29</v>
      </c>
      <c r="G134" s="89">
        <v>1</v>
      </c>
      <c r="H134" s="89">
        <v>1</v>
      </c>
      <c r="I134" s="116">
        <f t="shared" si="4"/>
        <v>0.00076465574968419</v>
      </c>
      <c r="J134" s="116">
        <f t="shared" si="5"/>
        <v>0.0102107603828189</v>
      </c>
      <c r="K134" s="116">
        <f t="shared" si="6"/>
        <v>0.6155</v>
      </c>
      <c r="L134" s="89">
        <v>500</v>
      </c>
      <c r="M134" s="117">
        <v>1870.75</v>
      </c>
      <c r="N134" s="118">
        <v>50</v>
      </c>
      <c r="O134" s="89">
        <f t="shared" si="7"/>
        <v>12</v>
      </c>
      <c r="P134" s="119">
        <v>297</v>
      </c>
      <c r="Q134" s="90" t="s">
        <v>90</v>
      </c>
      <c r="S134" s="117"/>
      <c r="T134" s="118"/>
      <c r="U134" s="89"/>
    </row>
    <row r="135" spans="1:21">
      <c r="A135" s="88">
        <v>134</v>
      </c>
      <c r="B135" s="89" t="s">
        <v>223</v>
      </c>
      <c r="C135" s="89">
        <v>32</v>
      </c>
      <c r="D135" s="89">
        <v>35</v>
      </c>
      <c r="E135" s="89" t="str">
        <f t="shared" si="3"/>
        <v>Bus32</v>
      </c>
      <c r="F135" s="89" t="str">
        <f t="shared" si="3"/>
        <v>Bus35</v>
      </c>
      <c r="G135" s="89">
        <v>1</v>
      </c>
      <c r="H135" s="89">
        <v>1</v>
      </c>
      <c r="I135" s="116">
        <f t="shared" si="4"/>
        <v>0.000791194968553459</v>
      </c>
      <c r="J135" s="116">
        <f t="shared" si="5"/>
        <v>0.0103699614271938</v>
      </c>
      <c r="K135" s="116">
        <f t="shared" si="6"/>
        <v>0.619015</v>
      </c>
      <c r="L135" s="89">
        <v>500</v>
      </c>
      <c r="M135" s="117">
        <v>2555.35</v>
      </c>
      <c r="N135" s="118">
        <v>106.466666666667</v>
      </c>
      <c r="O135" s="89">
        <f t="shared" si="7"/>
        <v>4</v>
      </c>
      <c r="P135" s="119">
        <v>297</v>
      </c>
      <c r="Q135" s="90" t="s">
        <v>90</v>
      </c>
      <c r="S135" s="117"/>
      <c r="T135" s="118"/>
      <c r="U135" s="89"/>
    </row>
    <row r="136" spans="1:21">
      <c r="A136" s="88">
        <v>135</v>
      </c>
      <c r="B136" s="89" t="s">
        <v>224</v>
      </c>
      <c r="C136" s="89">
        <v>30</v>
      </c>
      <c r="D136" s="89">
        <v>31</v>
      </c>
      <c r="E136" s="89" t="str">
        <f t="shared" si="3"/>
        <v>Bus30</v>
      </c>
      <c r="F136" s="89" t="str">
        <f t="shared" si="3"/>
        <v>Bus31</v>
      </c>
      <c r="G136" s="89">
        <v>1</v>
      </c>
      <c r="H136" s="89">
        <v>1</v>
      </c>
      <c r="I136" s="116">
        <f t="shared" si="4"/>
        <v>9e-5</v>
      </c>
      <c r="J136" s="116">
        <f t="shared" si="5"/>
        <v>0.00378499339498018</v>
      </c>
      <c r="K136" s="116">
        <f t="shared" si="6"/>
        <v>4.17795</v>
      </c>
      <c r="L136" s="89">
        <v>500</v>
      </c>
      <c r="M136" s="117">
        <v>1569.75</v>
      </c>
      <c r="N136" s="118">
        <v>129</v>
      </c>
      <c r="O136" s="89">
        <f t="shared" si="7"/>
        <v>4</v>
      </c>
      <c r="P136" s="119">
        <v>297</v>
      </c>
      <c r="Q136" s="90" t="s">
        <v>90</v>
      </c>
      <c r="S136" s="117"/>
      <c r="T136" s="118"/>
      <c r="U136" s="89"/>
    </row>
    <row r="137" spans="1:21">
      <c r="A137" s="88">
        <v>136</v>
      </c>
      <c r="B137" s="89" t="s">
        <v>225</v>
      </c>
      <c r="C137" s="89">
        <v>30</v>
      </c>
      <c r="D137" s="89">
        <v>36</v>
      </c>
      <c r="E137" s="89" t="str">
        <f t="shared" si="3"/>
        <v>Bus30</v>
      </c>
      <c r="F137" s="89" t="str">
        <f t="shared" si="3"/>
        <v>Bus36</v>
      </c>
      <c r="G137" s="89">
        <v>1</v>
      </c>
      <c r="H137" s="89">
        <v>1</v>
      </c>
      <c r="I137" s="116">
        <f t="shared" si="4"/>
        <v>0.0001</v>
      </c>
      <c r="J137" s="116">
        <f t="shared" si="5"/>
        <v>0.00354</v>
      </c>
      <c r="K137" s="116">
        <f t="shared" si="6"/>
        <v>3.8584</v>
      </c>
      <c r="L137" s="89">
        <v>500</v>
      </c>
      <c r="M137" s="117">
        <v>1508.325</v>
      </c>
      <c r="N137" s="118">
        <v>136</v>
      </c>
      <c r="O137" s="89">
        <f t="shared" si="7"/>
        <v>4</v>
      </c>
      <c r="P137" s="119">
        <v>297</v>
      </c>
      <c r="Q137" s="90" t="s">
        <v>90</v>
      </c>
      <c r="S137" s="117"/>
      <c r="T137" s="118"/>
      <c r="U137" s="89"/>
    </row>
    <row r="138" spans="1:21">
      <c r="A138" s="88">
        <v>137</v>
      </c>
      <c r="B138" s="89" t="s">
        <v>226</v>
      </c>
      <c r="C138" s="89">
        <v>33</v>
      </c>
      <c r="D138" s="89">
        <v>35</v>
      </c>
      <c r="E138" s="89" t="str">
        <f t="shared" si="3"/>
        <v>Bus33</v>
      </c>
      <c r="F138" s="89" t="str">
        <f t="shared" si="3"/>
        <v>Bus35</v>
      </c>
      <c r="G138" s="89">
        <v>1</v>
      </c>
      <c r="H138" s="89">
        <v>1</v>
      </c>
      <c r="I138" s="116">
        <f t="shared" si="4"/>
        <v>4e-5</v>
      </c>
      <c r="J138" s="116">
        <f t="shared" si="5"/>
        <v>0.00136</v>
      </c>
      <c r="K138" s="116">
        <f t="shared" si="6"/>
        <v>1.5815</v>
      </c>
      <c r="L138" s="89">
        <v>500</v>
      </c>
      <c r="M138" s="117">
        <v>1554</v>
      </c>
      <c r="N138" s="118">
        <v>51.9</v>
      </c>
      <c r="O138" s="89">
        <f t="shared" si="7"/>
        <v>4</v>
      </c>
      <c r="P138" s="119">
        <v>297</v>
      </c>
      <c r="Q138" s="90" t="s">
        <v>90</v>
      </c>
      <c r="S138" s="117"/>
      <c r="T138" s="118"/>
      <c r="U138" s="89"/>
    </row>
    <row r="139" spans="1:21">
      <c r="A139" s="88">
        <v>138</v>
      </c>
      <c r="B139" s="89" t="s">
        <v>227</v>
      </c>
      <c r="C139" s="89">
        <v>30</v>
      </c>
      <c r="D139" s="89">
        <v>35</v>
      </c>
      <c r="E139" s="89" t="str">
        <f t="shared" si="3"/>
        <v>Bus30</v>
      </c>
      <c r="F139" s="89" t="str">
        <f t="shared" si="3"/>
        <v>Bus35</v>
      </c>
      <c r="G139" s="89">
        <v>1</v>
      </c>
      <c r="H139" s="89">
        <v>1</v>
      </c>
      <c r="I139" s="116">
        <f t="shared" si="4"/>
        <v>0.00012</v>
      </c>
      <c r="J139" s="116">
        <f t="shared" si="5"/>
        <v>0.00454997802197802</v>
      </c>
      <c r="K139" s="116">
        <f t="shared" si="6"/>
        <v>4.9457</v>
      </c>
      <c r="L139" s="89">
        <v>500</v>
      </c>
      <c r="M139" s="117">
        <v>1633.93125</v>
      </c>
      <c r="N139" s="118">
        <v>99.85</v>
      </c>
      <c r="O139" s="89">
        <f t="shared" si="7"/>
        <v>4</v>
      </c>
      <c r="P139" s="119">
        <v>297</v>
      </c>
      <c r="Q139" s="90" t="s">
        <v>90</v>
      </c>
      <c r="S139" s="117"/>
      <c r="T139" s="118"/>
      <c r="U139" s="89"/>
    </row>
    <row r="140" spans="1:21">
      <c r="A140" s="88">
        <v>139</v>
      </c>
      <c r="B140" s="89" t="s">
        <v>228</v>
      </c>
      <c r="C140" s="89">
        <v>33</v>
      </c>
      <c r="D140" s="89">
        <v>34</v>
      </c>
      <c r="E140" s="89" t="str">
        <f t="shared" si="3"/>
        <v>Bus33</v>
      </c>
      <c r="F140" s="89" t="str">
        <f t="shared" si="3"/>
        <v>Bus34</v>
      </c>
      <c r="G140" s="89">
        <v>1</v>
      </c>
      <c r="H140" s="89">
        <v>1</v>
      </c>
      <c r="I140" s="116">
        <f t="shared" si="4"/>
        <v>0.0002</v>
      </c>
      <c r="J140" s="116">
        <f t="shared" si="5"/>
        <v>0.00659</v>
      </c>
      <c r="K140" s="116">
        <f t="shared" si="6"/>
        <v>6.8319</v>
      </c>
      <c r="L140" s="89">
        <v>500</v>
      </c>
      <c r="M140" s="117">
        <v>1680</v>
      </c>
      <c r="N140" s="118">
        <v>81.35</v>
      </c>
      <c r="O140" s="89">
        <f t="shared" si="7"/>
        <v>4</v>
      </c>
      <c r="P140" s="119">
        <v>297</v>
      </c>
      <c r="Q140" s="90" t="s">
        <v>90</v>
      </c>
      <c r="S140" s="117"/>
      <c r="T140" s="118"/>
      <c r="U140" s="89"/>
    </row>
    <row r="141" spans="1:21">
      <c r="A141" s="88">
        <v>140</v>
      </c>
      <c r="B141" s="89" t="s">
        <v>229</v>
      </c>
      <c r="C141" s="89">
        <v>39</v>
      </c>
      <c r="D141" s="89">
        <v>38</v>
      </c>
      <c r="E141" s="89" t="str">
        <f t="shared" si="3"/>
        <v>Bus39</v>
      </c>
      <c r="F141" s="89" t="str">
        <f t="shared" si="3"/>
        <v>Bus38</v>
      </c>
      <c r="G141" s="89">
        <v>1</v>
      </c>
      <c r="H141" s="89">
        <v>1</v>
      </c>
      <c r="I141" s="116">
        <f t="shared" si="4"/>
        <v>0.00021</v>
      </c>
      <c r="J141" s="116">
        <f t="shared" si="5"/>
        <v>0.00786</v>
      </c>
      <c r="K141" s="116">
        <f t="shared" si="6"/>
        <v>9.1579</v>
      </c>
      <c r="L141" s="89">
        <v>500</v>
      </c>
      <c r="M141" s="117">
        <v>2070.225</v>
      </c>
      <c r="N141" s="118">
        <v>69.3285714285714</v>
      </c>
      <c r="O141" s="89">
        <f t="shared" si="7"/>
        <v>4</v>
      </c>
      <c r="P141" s="119">
        <v>297</v>
      </c>
      <c r="Q141" s="90" t="s">
        <v>90</v>
      </c>
      <c r="S141" s="117"/>
      <c r="T141" s="118"/>
      <c r="U141" s="89"/>
    </row>
    <row r="142" spans="1:21">
      <c r="A142" s="88">
        <v>141</v>
      </c>
      <c r="B142" s="89" t="s">
        <v>230</v>
      </c>
      <c r="C142" s="89">
        <v>37</v>
      </c>
      <c r="D142" s="89">
        <v>39</v>
      </c>
      <c r="E142" s="89" t="str">
        <f t="shared" si="3"/>
        <v>Bus37</v>
      </c>
      <c r="F142" s="89" t="str">
        <f t="shared" si="3"/>
        <v>Bus39</v>
      </c>
      <c r="G142" s="89">
        <v>1</v>
      </c>
      <c r="H142" s="89">
        <v>1</v>
      </c>
      <c r="I142" s="116">
        <f t="shared" si="4"/>
        <v>9e-5</v>
      </c>
      <c r="J142" s="116">
        <f t="shared" si="5"/>
        <v>0.00345</v>
      </c>
      <c r="K142" s="116">
        <f t="shared" si="6"/>
        <v>3.7742</v>
      </c>
      <c r="L142" s="89">
        <v>500</v>
      </c>
      <c r="M142" s="117">
        <v>1512.7</v>
      </c>
      <c r="N142" s="118">
        <v>59.2333333333333</v>
      </c>
      <c r="O142" s="89">
        <f t="shared" si="7"/>
        <v>4</v>
      </c>
      <c r="P142" s="119">
        <v>297</v>
      </c>
      <c r="Q142" s="90" t="s">
        <v>90</v>
      </c>
      <c r="S142" s="117"/>
      <c r="T142" s="118"/>
      <c r="U142" s="89"/>
    </row>
    <row r="143" spans="1:21">
      <c r="A143" s="88">
        <v>142</v>
      </c>
      <c r="B143" s="89" t="s">
        <v>231</v>
      </c>
      <c r="C143" s="89">
        <v>38</v>
      </c>
      <c r="D143" s="89">
        <v>40</v>
      </c>
      <c r="E143" s="89" t="str">
        <f t="shared" si="3"/>
        <v>Bus38</v>
      </c>
      <c r="F143" s="89" t="str">
        <f t="shared" si="3"/>
        <v>Bus40</v>
      </c>
      <c r="G143" s="89">
        <v>1</v>
      </c>
      <c r="H143" s="89">
        <v>1</v>
      </c>
      <c r="I143" s="116">
        <f t="shared" si="4"/>
        <v>0.00013</v>
      </c>
      <c r="J143" s="116">
        <f t="shared" si="5"/>
        <v>0.00464</v>
      </c>
      <c r="K143" s="116">
        <f t="shared" si="6"/>
        <v>4.8802</v>
      </c>
      <c r="L143" s="89">
        <v>500</v>
      </c>
      <c r="M143" s="117">
        <v>1615.5125</v>
      </c>
      <c r="N143" s="118">
        <v>123.1</v>
      </c>
      <c r="O143" s="89">
        <f t="shared" si="7"/>
        <v>4</v>
      </c>
      <c r="P143" s="119">
        <v>297</v>
      </c>
      <c r="Q143" s="90" t="s">
        <v>90</v>
      </c>
      <c r="S143" s="117"/>
      <c r="T143" s="118"/>
      <c r="U143" s="89"/>
    </row>
    <row r="144" ht="14.6" spans="1:21">
      <c r="A144" s="91">
        <v>143</v>
      </c>
      <c r="B144" s="92" t="s">
        <v>232</v>
      </c>
      <c r="C144" s="92">
        <v>37</v>
      </c>
      <c r="D144" s="92">
        <v>40</v>
      </c>
      <c r="E144" s="92" t="str">
        <f t="shared" si="3"/>
        <v>Bus37</v>
      </c>
      <c r="F144" s="92" t="str">
        <f t="shared" si="3"/>
        <v>Bus40</v>
      </c>
      <c r="G144" s="92">
        <v>1</v>
      </c>
      <c r="H144" s="92">
        <v>1</v>
      </c>
      <c r="I144" s="122">
        <f t="shared" ref="I144" si="8">I76*O76</f>
        <v>9e-5</v>
      </c>
      <c r="J144" s="122">
        <f t="shared" ref="J144" si="9">J76*O76</f>
        <v>0.00281499111900532</v>
      </c>
      <c r="K144" s="122">
        <f t="shared" ref="K144" si="10">K76/O76</f>
        <v>2.9856</v>
      </c>
      <c r="L144" s="92">
        <v>500</v>
      </c>
      <c r="M144" s="123">
        <v>1228.5</v>
      </c>
      <c r="N144" s="124">
        <v>104</v>
      </c>
      <c r="O144" s="92">
        <f t="shared" ref="O144" si="11">O76*2</f>
        <v>4</v>
      </c>
      <c r="P144" s="125">
        <v>297</v>
      </c>
      <c r="Q144" s="93" t="s">
        <v>90</v>
      </c>
      <c r="S144" s="117"/>
      <c r="T144" s="118"/>
      <c r="U144" s="89"/>
    </row>
    <row r="145" spans="1:17">
      <c r="A145" s="88">
        <v>144</v>
      </c>
      <c r="B145" s="89" t="s">
        <v>233</v>
      </c>
      <c r="C145" s="89">
        <v>21</v>
      </c>
      <c r="D145" s="89">
        <v>23</v>
      </c>
      <c r="E145" s="89" t="s">
        <v>44</v>
      </c>
      <c r="F145" s="89" t="s">
        <v>46</v>
      </c>
      <c r="G145" s="89">
        <v>1</v>
      </c>
      <c r="H145" s="89">
        <v>1</v>
      </c>
      <c r="I145" s="116">
        <v>4.65898717599176e-5</v>
      </c>
      <c r="J145" s="116">
        <v>0.00247421884566423</v>
      </c>
      <c r="K145" s="116">
        <v>1.89271354024665</v>
      </c>
      <c r="L145" s="89">
        <v>1000</v>
      </c>
      <c r="M145" s="117">
        <v>6600</v>
      </c>
      <c r="N145" s="121">
        <v>90.9639281494202</v>
      </c>
      <c r="O145" s="89">
        <v>2</v>
      </c>
      <c r="P145" s="119">
        <v>750</v>
      </c>
      <c r="Q145" s="90" t="s">
        <v>90</v>
      </c>
    </row>
    <row r="146" spans="1:17">
      <c r="A146" s="88">
        <v>145</v>
      </c>
      <c r="B146" s="89" t="s">
        <v>234</v>
      </c>
      <c r="C146" s="89">
        <v>23</v>
      </c>
      <c r="D146" s="89">
        <v>25</v>
      </c>
      <c r="E146" s="89" t="s">
        <v>46</v>
      </c>
      <c r="F146" s="89" t="s">
        <v>48</v>
      </c>
      <c r="G146" s="89">
        <v>1</v>
      </c>
      <c r="H146" s="89">
        <v>1</v>
      </c>
      <c r="I146" s="116">
        <v>0.000114651211111219</v>
      </c>
      <c r="J146" s="116">
        <v>0.00608870933732977</v>
      </c>
      <c r="K146" s="116">
        <v>4.65770545139329</v>
      </c>
      <c r="L146" s="89">
        <v>1000</v>
      </c>
      <c r="M146" s="117">
        <v>6600</v>
      </c>
      <c r="N146" s="121">
        <v>223.849607990065</v>
      </c>
      <c r="O146" s="89">
        <v>2</v>
      </c>
      <c r="P146" s="119">
        <v>750</v>
      </c>
      <c r="Q146" s="90" t="s">
        <v>90</v>
      </c>
    </row>
    <row r="147" spans="1:17">
      <c r="A147" s="88">
        <v>146</v>
      </c>
      <c r="B147" s="89" t="s">
        <v>235</v>
      </c>
      <c r="C147" s="89">
        <v>25</v>
      </c>
      <c r="D147" s="89">
        <v>22</v>
      </c>
      <c r="E147" s="89" t="s">
        <v>48</v>
      </c>
      <c r="F147" s="89" t="s">
        <v>45</v>
      </c>
      <c r="G147" s="89">
        <v>1</v>
      </c>
      <c r="H147" s="89">
        <v>1</v>
      </c>
      <c r="I147" s="116">
        <v>6.40161647913317e-5</v>
      </c>
      <c r="J147" s="116">
        <v>0.00339966596538534</v>
      </c>
      <c r="K147" s="116">
        <v>2.60065669464785</v>
      </c>
      <c r="L147" s="89">
        <v>1000</v>
      </c>
      <c r="M147" s="117">
        <v>6600</v>
      </c>
      <c r="N147" s="121">
        <v>124.987719315638</v>
      </c>
      <c r="O147" s="89">
        <v>2</v>
      </c>
      <c r="P147" s="119">
        <v>750</v>
      </c>
      <c r="Q147" s="90" t="s">
        <v>90</v>
      </c>
    </row>
    <row r="148" spans="1:17">
      <c r="A148" s="88">
        <v>147</v>
      </c>
      <c r="B148" s="89" t="s">
        <v>236</v>
      </c>
      <c r="C148" s="89">
        <v>38</v>
      </c>
      <c r="D148" s="89">
        <v>39</v>
      </c>
      <c r="E148" s="89" t="s">
        <v>63</v>
      </c>
      <c r="F148" s="89" t="s">
        <v>64</v>
      </c>
      <c r="G148" s="89">
        <v>1</v>
      </c>
      <c r="H148" s="89">
        <v>1</v>
      </c>
      <c r="I148" s="116">
        <v>4.15803563014761e-5</v>
      </c>
      <c r="J148" s="116">
        <v>0.00220818167735449</v>
      </c>
      <c r="K148" s="116">
        <v>1.68920197474747</v>
      </c>
      <c r="L148" s="89">
        <v>1000</v>
      </c>
      <c r="M148" s="117">
        <v>6600</v>
      </c>
      <c r="N148" s="121">
        <v>81.1831499027385</v>
      </c>
      <c r="O148" s="89">
        <v>2</v>
      </c>
      <c r="P148" s="119">
        <v>750</v>
      </c>
      <c r="Q148" s="90" t="s">
        <v>90</v>
      </c>
    </row>
    <row r="149" spans="1:17">
      <c r="A149" s="88">
        <v>148</v>
      </c>
      <c r="B149" s="89" t="s">
        <v>237</v>
      </c>
      <c r="C149" s="89">
        <v>38</v>
      </c>
      <c r="D149" s="89">
        <v>40</v>
      </c>
      <c r="E149" s="89" t="s">
        <v>63</v>
      </c>
      <c r="F149" s="89" t="s">
        <v>65</v>
      </c>
      <c r="G149" s="89">
        <v>1</v>
      </c>
      <c r="H149" s="89">
        <v>1</v>
      </c>
      <c r="I149" s="116">
        <v>6.24237490007084e-5</v>
      </c>
      <c r="J149" s="116">
        <v>0.0033150985473938</v>
      </c>
      <c r="K149" s="116">
        <v>2.53596480315378</v>
      </c>
      <c r="L149" s="89">
        <v>1000</v>
      </c>
      <c r="M149" s="117">
        <v>6600</v>
      </c>
      <c r="N149" s="121">
        <v>121.878623065948</v>
      </c>
      <c r="O149" s="89">
        <v>2</v>
      </c>
      <c r="P149" s="119">
        <v>750</v>
      </c>
      <c r="Q149" s="90" t="s">
        <v>90</v>
      </c>
    </row>
    <row r="150" spans="1:17">
      <c r="A150" s="88">
        <v>149</v>
      </c>
      <c r="B150" s="89" t="s">
        <v>238</v>
      </c>
      <c r="C150" s="89">
        <v>40</v>
      </c>
      <c r="D150" s="89">
        <v>21</v>
      </c>
      <c r="E150" s="89" t="s">
        <v>65</v>
      </c>
      <c r="F150" s="89" t="s">
        <v>44</v>
      </c>
      <c r="G150" s="89">
        <v>1</v>
      </c>
      <c r="H150" s="89">
        <v>1</v>
      </c>
      <c r="I150" s="116">
        <v>0.00016109229360746</v>
      </c>
      <c r="J150" s="116">
        <v>0.0085550265256956</v>
      </c>
      <c r="K150" s="116">
        <v>6.54437442780304</v>
      </c>
      <c r="L150" s="89">
        <v>1000</v>
      </c>
      <c r="M150" s="117">
        <v>6600</v>
      </c>
      <c r="N150" s="121">
        <v>314.523034032926</v>
      </c>
      <c r="O150" s="89">
        <v>2</v>
      </c>
      <c r="P150" s="119">
        <v>750</v>
      </c>
      <c r="Q150" s="90" t="s">
        <v>90</v>
      </c>
    </row>
    <row r="151" spans="1:17">
      <c r="A151" s="88">
        <v>150</v>
      </c>
      <c r="B151" s="89" t="s">
        <v>239</v>
      </c>
      <c r="C151" s="89">
        <v>38</v>
      </c>
      <c r="D151" s="89">
        <v>27</v>
      </c>
      <c r="E151" s="89" t="s">
        <v>63</v>
      </c>
      <c r="F151" s="89" t="s">
        <v>50</v>
      </c>
      <c r="G151" s="89">
        <v>1</v>
      </c>
      <c r="H151" s="89">
        <v>1</v>
      </c>
      <c r="I151" s="116">
        <v>0.000166715818387167</v>
      </c>
      <c r="J151" s="116">
        <v>0.00885367149859253</v>
      </c>
      <c r="K151" s="116">
        <v>6.77283012197866</v>
      </c>
      <c r="L151" s="89">
        <v>1000</v>
      </c>
      <c r="M151" s="117">
        <v>6600</v>
      </c>
      <c r="N151" s="121">
        <v>325.502628624725</v>
      </c>
      <c r="O151" s="89">
        <v>2</v>
      </c>
      <c r="P151" s="119">
        <v>750</v>
      </c>
      <c r="Q151" s="90" t="s">
        <v>90</v>
      </c>
    </row>
    <row r="152" spans="1:17">
      <c r="A152" s="88">
        <v>151</v>
      </c>
      <c r="B152" s="89" t="s">
        <v>240</v>
      </c>
      <c r="C152" s="89">
        <v>27</v>
      </c>
      <c r="D152" s="89">
        <v>19</v>
      </c>
      <c r="E152" s="89" t="s">
        <v>50</v>
      </c>
      <c r="F152" s="89" t="s">
        <v>42</v>
      </c>
      <c r="G152" s="89">
        <v>1</v>
      </c>
      <c r="H152" s="89">
        <v>1</v>
      </c>
      <c r="I152" s="116">
        <v>0.000105187265203233</v>
      </c>
      <c r="J152" s="116">
        <v>0.00558611354911747</v>
      </c>
      <c r="K152" s="116">
        <v>4.27323264888136</v>
      </c>
      <c r="L152" s="89">
        <v>1000</v>
      </c>
      <c r="M152" s="117">
        <v>6600</v>
      </c>
      <c r="N152" s="121">
        <v>205.371821658731</v>
      </c>
      <c r="O152" s="89">
        <v>2</v>
      </c>
      <c r="P152" s="119">
        <v>750</v>
      </c>
      <c r="Q152" s="90" t="s">
        <v>90</v>
      </c>
    </row>
    <row r="153" spans="1:17">
      <c r="A153" s="88">
        <v>152</v>
      </c>
      <c r="B153" s="89" t="s">
        <v>241</v>
      </c>
      <c r="C153" s="89">
        <v>19</v>
      </c>
      <c r="D153" s="89">
        <v>25</v>
      </c>
      <c r="E153" s="89" t="s">
        <v>42</v>
      </c>
      <c r="F153" s="89" t="s">
        <v>48</v>
      </c>
      <c r="G153" s="89">
        <v>1</v>
      </c>
      <c r="H153" s="89">
        <v>1</v>
      </c>
      <c r="I153" s="116">
        <v>4.95528653318768e-5</v>
      </c>
      <c r="J153" s="116">
        <v>0.00263157267082823</v>
      </c>
      <c r="K153" s="116">
        <v>2.01308515410749</v>
      </c>
      <c r="L153" s="89">
        <v>1000</v>
      </c>
      <c r="M153" s="117">
        <v>6600</v>
      </c>
      <c r="N153" s="121">
        <v>96.7489952510378</v>
      </c>
      <c r="O153" s="89">
        <v>2</v>
      </c>
      <c r="P153" s="119">
        <v>750</v>
      </c>
      <c r="Q153" s="90" t="s">
        <v>90</v>
      </c>
    </row>
    <row r="154" spans="1:17">
      <c r="A154" s="88">
        <v>153</v>
      </c>
      <c r="B154" s="89" t="s">
        <v>242</v>
      </c>
      <c r="C154" s="89">
        <v>27</v>
      </c>
      <c r="D154" s="89">
        <v>20</v>
      </c>
      <c r="E154" s="89" t="s">
        <v>50</v>
      </c>
      <c r="F154" s="89" t="s">
        <v>43</v>
      </c>
      <c r="G154" s="89">
        <v>1</v>
      </c>
      <c r="H154" s="89">
        <v>1</v>
      </c>
      <c r="I154" s="116">
        <v>9.76689436847679e-5</v>
      </c>
      <c r="J154" s="116">
        <v>0.00518684280450997</v>
      </c>
      <c r="K154" s="116">
        <v>3.9678008371937</v>
      </c>
      <c r="L154" s="89">
        <v>1000</v>
      </c>
      <c r="M154" s="117">
        <v>6600</v>
      </c>
      <c r="N154" s="121">
        <v>190.692750165808</v>
      </c>
      <c r="O154" s="89">
        <v>2</v>
      </c>
      <c r="P154" s="119">
        <v>750</v>
      </c>
      <c r="Q154" s="90" t="s">
        <v>90</v>
      </c>
    </row>
    <row r="155" spans="1:17">
      <c r="A155" s="88">
        <v>154</v>
      </c>
      <c r="B155" s="89" t="s">
        <v>243</v>
      </c>
      <c r="C155" s="89">
        <v>20</v>
      </c>
      <c r="D155" s="89">
        <v>36</v>
      </c>
      <c r="E155" s="89" t="s">
        <v>43</v>
      </c>
      <c r="F155" s="89" t="s">
        <v>60</v>
      </c>
      <c r="G155" s="89">
        <v>1</v>
      </c>
      <c r="H155" s="89">
        <v>1</v>
      </c>
      <c r="I155" s="116">
        <v>9.78931668551985e-5</v>
      </c>
      <c r="J155" s="116">
        <v>0.00519875048257298</v>
      </c>
      <c r="K155" s="116">
        <v>3.97690990349244</v>
      </c>
      <c r="L155" s="89">
        <v>1000</v>
      </c>
      <c r="M155" s="117">
        <v>6600</v>
      </c>
      <c r="N155" s="121">
        <v>191.130532447536</v>
      </c>
      <c r="O155" s="89">
        <v>2</v>
      </c>
      <c r="P155" s="119">
        <v>750</v>
      </c>
      <c r="Q155" s="90" t="s">
        <v>90</v>
      </c>
    </row>
    <row r="156" spans="1:17">
      <c r="A156" s="88">
        <v>155</v>
      </c>
      <c r="B156" s="89" t="s">
        <v>244</v>
      </c>
      <c r="C156" s="89">
        <v>36</v>
      </c>
      <c r="D156" s="89">
        <v>29</v>
      </c>
      <c r="E156" s="89" t="s">
        <v>60</v>
      </c>
      <c r="F156" s="89" t="s">
        <v>52</v>
      </c>
      <c r="G156" s="89">
        <v>1</v>
      </c>
      <c r="H156" s="89">
        <v>1</v>
      </c>
      <c r="I156" s="116">
        <v>7.2562725900563e-5</v>
      </c>
      <c r="J156" s="116">
        <v>0.00385354277945019</v>
      </c>
      <c r="K156" s="116">
        <v>2.94786073971037</v>
      </c>
      <c r="L156" s="89">
        <v>1000</v>
      </c>
      <c r="M156" s="117">
        <v>6600</v>
      </c>
      <c r="N156" s="121">
        <v>141.674366891551</v>
      </c>
      <c r="O156" s="89">
        <v>2</v>
      </c>
      <c r="P156" s="119">
        <v>750</v>
      </c>
      <c r="Q156" s="90" t="s">
        <v>90</v>
      </c>
    </row>
    <row r="157" spans="1:17">
      <c r="A157" s="88">
        <v>156</v>
      </c>
      <c r="B157" s="89" t="s">
        <v>245</v>
      </c>
      <c r="C157" s="89">
        <v>36</v>
      </c>
      <c r="D157" s="89">
        <v>30</v>
      </c>
      <c r="E157" s="89" t="s">
        <v>60</v>
      </c>
      <c r="F157" s="89" t="s">
        <v>54</v>
      </c>
      <c r="G157" s="89">
        <v>1</v>
      </c>
      <c r="H157" s="89">
        <v>1</v>
      </c>
      <c r="I157" s="116">
        <v>6.22651967945071e-5</v>
      </c>
      <c r="J157" s="116">
        <v>0.00330667841568306</v>
      </c>
      <c r="K157" s="116">
        <v>2.52952361977685</v>
      </c>
      <c r="L157" s="89">
        <v>1000</v>
      </c>
      <c r="M157" s="117">
        <v>6600</v>
      </c>
      <c r="N157" s="121">
        <v>121.569059400112</v>
      </c>
      <c r="O157" s="89">
        <v>2</v>
      </c>
      <c r="P157" s="119">
        <v>750</v>
      </c>
      <c r="Q157" s="90" t="s">
        <v>90</v>
      </c>
    </row>
    <row r="158" spans="1:17">
      <c r="A158" s="88">
        <v>157</v>
      </c>
      <c r="B158" s="89" t="s">
        <v>246</v>
      </c>
      <c r="C158" s="89">
        <v>30</v>
      </c>
      <c r="D158" s="89">
        <v>32</v>
      </c>
      <c r="E158" s="89" t="s">
        <v>54</v>
      </c>
      <c r="F158" s="89" t="s">
        <v>56</v>
      </c>
      <c r="G158" s="89">
        <v>1</v>
      </c>
      <c r="H158" s="89">
        <v>1</v>
      </c>
      <c r="I158" s="116">
        <v>0.000126228602951394</v>
      </c>
      <c r="J158" s="116">
        <v>0.00670354256164533</v>
      </c>
      <c r="K158" s="116">
        <v>5.12803699490038</v>
      </c>
      <c r="L158" s="89">
        <v>1000</v>
      </c>
      <c r="M158" s="117">
        <v>6600</v>
      </c>
      <c r="N158" s="121">
        <v>246.453770648726</v>
      </c>
      <c r="O158" s="89">
        <v>2</v>
      </c>
      <c r="P158" s="119">
        <v>750</v>
      </c>
      <c r="Q158" s="90" t="s">
        <v>90</v>
      </c>
    </row>
    <row r="159" spans="1:17">
      <c r="A159" s="88">
        <v>158</v>
      </c>
      <c r="B159" s="89" t="s">
        <v>247</v>
      </c>
      <c r="C159" s="89">
        <v>32</v>
      </c>
      <c r="D159" s="89">
        <v>35</v>
      </c>
      <c r="E159" s="89" t="s">
        <v>56</v>
      </c>
      <c r="F159" s="89" t="s">
        <v>59</v>
      </c>
      <c r="G159" s="89">
        <v>1</v>
      </c>
      <c r="H159" s="89">
        <v>1</v>
      </c>
      <c r="I159" s="116">
        <v>4.78766712092237e-5</v>
      </c>
      <c r="J159" s="116">
        <v>0.00254255608995779</v>
      </c>
      <c r="K159" s="116">
        <v>1.94498976787471</v>
      </c>
      <c r="L159" s="89">
        <v>1000</v>
      </c>
      <c r="M159" s="117">
        <v>6600</v>
      </c>
      <c r="N159" s="121">
        <v>93.4763268366836</v>
      </c>
      <c r="O159" s="89">
        <v>2</v>
      </c>
      <c r="P159" s="119">
        <v>750</v>
      </c>
      <c r="Q159" s="90" t="s">
        <v>90</v>
      </c>
    </row>
    <row r="160" spans="1:17">
      <c r="A160" s="88">
        <v>159</v>
      </c>
      <c r="B160" s="89" t="s">
        <v>248</v>
      </c>
      <c r="C160" s="89">
        <v>38</v>
      </c>
      <c r="D160" s="89">
        <v>23</v>
      </c>
      <c r="E160" s="89" t="s">
        <v>63</v>
      </c>
      <c r="F160" s="89" t="s">
        <v>46</v>
      </c>
      <c r="G160" s="89">
        <v>1</v>
      </c>
      <c r="H160" s="89">
        <v>1</v>
      </c>
      <c r="I160" s="116">
        <v>0.00012983189098045</v>
      </c>
      <c r="J160" s="116">
        <v>0.00689490009947646</v>
      </c>
      <c r="K160" s="116">
        <v>5.27442057108077</v>
      </c>
      <c r="L160" s="89">
        <v>1000</v>
      </c>
      <c r="M160" s="117">
        <v>6600</v>
      </c>
      <c r="N160" s="121">
        <v>253.488974245458</v>
      </c>
      <c r="O160" s="89">
        <v>2</v>
      </c>
      <c r="P160" s="119">
        <v>750</v>
      </c>
      <c r="Q160" s="90" t="s">
        <v>90</v>
      </c>
    </row>
    <row r="161" spans="1:17">
      <c r="A161" s="88">
        <v>160</v>
      </c>
      <c r="B161" s="89" t="s">
        <v>249</v>
      </c>
      <c r="C161" s="89">
        <v>21</v>
      </c>
      <c r="D161" s="89">
        <v>20</v>
      </c>
      <c r="E161" s="89" t="s">
        <v>44</v>
      </c>
      <c r="F161" s="89" t="s">
        <v>43</v>
      </c>
      <c r="G161" s="89">
        <v>1</v>
      </c>
      <c r="H161" s="89">
        <v>1</v>
      </c>
      <c r="I161" s="116">
        <v>0.000103146713280512</v>
      </c>
      <c r="J161" s="116">
        <v>0.00547774724906044</v>
      </c>
      <c r="K161" s="116">
        <v>4.1903352270208</v>
      </c>
      <c r="L161" s="89">
        <v>1000</v>
      </c>
      <c r="M161" s="117">
        <v>6600</v>
      </c>
      <c r="N161" s="121">
        <v>201.387766509575</v>
      </c>
      <c r="O161" s="89">
        <v>2</v>
      </c>
      <c r="P161" s="119">
        <v>750</v>
      </c>
      <c r="Q161" s="90" t="s">
        <v>90</v>
      </c>
    </row>
    <row r="162" spans="1:17">
      <c r="A162" s="88">
        <v>161</v>
      </c>
      <c r="B162" s="89" t="s">
        <v>250</v>
      </c>
      <c r="C162" s="89">
        <v>20</v>
      </c>
      <c r="D162" s="89">
        <v>30</v>
      </c>
      <c r="E162" s="89" t="s">
        <v>43</v>
      </c>
      <c r="F162" s="89" t="s">
        <v>54</v>
      </c>
      <c r="G162" s="89">
        <v>1</v>
      </c>
      <c r="H162" s="89">
        <v>1</v>
      </c>
      <c r="I162" s="116">
        <v>0.000140507448176064</v>
      </c>
      <c r="J162" s="116">
        <v>0.00746184016184599</v>
      </c>
      <c r="K162" s="116">
        <v>5.7081150821526</v>
      </c>
      <c r="L162" s="89">
        <v>1000</v>
      </c>
      <c r="M162" s="117">
        <v>6600</v>
      </c>
      <c r="N162" s="121">
        <v>274.332358891397</v>
      </c>
      <c r="O162" s="89">
        <v>2</v>
      </c>
      <c r="P162" s="119">
        <v>750</v>
      </c>
      <c r="Q162" s="90" t="s">
        <v>90</v>
      </c>
    </row>
    <row r="163" spans="1:17">
      <c r="A163" s="88">
        <v>162</v>
      </c>
      <c r="B163" s="89" t="s">
        <v>251</v>
      </c>
      <c r="C163" s="89">
        <v>9</v>
      </c>
      <c r="D163" s="89">
        <v>11</v>
      </c>
      <c r="E163" s="89" t="s">
        <v>31</v>
      </c>
      <c r="F163" s="89" t="s">
        <v>33</v>
      </c>
      <c r="G163" s="89">
        <v>1</v>
      </c>
      <c r="H163" s="89">
        <v>1</v>
      </c>
      <c r="I163" s="116">
        <v>0.000122777852715568</v>
      </c>
      <c r="J163" s="116">
        <v>0.00652028575190012</v>
      </c>
      <c r="K163" s="116">
        <v>4.98785026656994</v>
      </c>
      <c r="L163" s="89">
        <v>1000</v>
      </c>
      <c r="M163" s="117">
        <v>6600</v>
      </c>
      <c r="N163" s="121">
        <v>239.716387937504</v>
      </c>
      <c r="O163" s="89">
        <v>2</v>
      </c>
      <c r="P163" s="119">
        <v>750</v>
      </c>
      <c r="Q163" s="90" t="s">
        <v>90</v>
      </c>
    </row>
    <row r="164" spans="1:17">
      <c r="A164" s="88">
        <v>163</v>
      </c>
      <c r="B164" s="89" t="s">
        <v>252</v>
      </c>
      <c r="C164" s="89">
        <v>11</v>
      </c>
      <c r="D164" s="89">
        <v>13</v>
      </c>
      <c r="E164" s="89" t="s">
        <v>33</v>
      </c>
      <c r="F164" s="89" t="s">
        <v>35</v>
      </c>
      <c r="G164" s="89">
        <v>1</v>
      </c>
      <c r="H164" s="89">
        <v>1</v>
      </c>
      <c r="I164" s="116">
        <v>0.000105652796843</v>
      </c>
      <c r="J164" s="116">
        <v>0.0056108362434039</v>
      </c>
      <c r="K164" s="116">
        <v>4.29214487174689</v>
      </c>
      <c r="L164" s="89">
        <v>1000</v>
      </c>
      <c r="M164" s="117">
        <v>6600</v>
      </c>
      <c r="N164" s="121">
        <v>206.28074424279</v>
      </c>
      <c r="O164" s="89">
        <v>2</v>
      </c>
      <c r="P164" s="119">
        <v>750</v>
      </c>
      <c r="Q164" s="90" t="s">
        <v>90</v>
      </c>
    </row>
    <row r="165" spans="1:17">
      <c r="A165" s="88">
        <v>164</v>
      </c>
      <c r="B165" s="89" t="s">
        <v>253</v>
      </c>
      <c r="C165" s="89">
        <v>13</v>
      </c>
      <c r="D165" s="89">
        <v>14</v>
      </c>
      <c r="E165" s="89" t="s">
        <v>35</v>
      </c>
      <c r="F165" s="89" t="s">
        <v>36</v>
      </c>
      <c r="G165" s="89">
        <v>1</v>
      </c>
      <c r="H165" s="89">
        <v>1</v>
      </c>
      <c r="I165" s="116">
        <v>8.04029860198132e-5</v>
      </c>
      <c r="J165" s="116">
        <v>0.00426991051366335</v>
      </c>
      <c r="K165" s="116">
        <v>3.26637130705491</v>
      </c>
      <c r="L165" s="89">
        <v>1000</v>
      </c>
      <c r="M165" s="117">
        <v>6600</v>
      </c>
      <c r="N165" s="121">
        <v>156.9820041788</v>
      </c>
      <c r="O165" s="89">
        <v>2</v>
      </c>
      <c r="P165" s="119">
        <v>750</v>
      </c>
      <c r="Q165" s="90" t="s">
        <v>90</v>
      </c>
    </row>
    <row r="166" spans="1:17">
      <c r="A166" s="88">
        <v>165</v>
      </c>
      <c r="B166" s="89" t="s">
        <v>254</v>
      </c>
      <c r="C166" s="89">
        <v>14</v>
      </c>
      <c r="D166" s="89">
        <v>7</v>
      </c>
      <c r="E166" s="89" t="s">
        <v>36</v>
      </c>
      <c r="F166" s="89" t="s">
        <v>29</v>
      </c>
      <c r="G166" s="89">
        <v>1</v>
      </c>
      <c r="H166" s="89">
        <v>1</v>
      </c>
      <c r="I166" s="116">
        <v>8.36713151062389e-5</v>
      </c>
      <c r="J166" s="116">
        <v>0.00444347959883142</v>
      </c>
      <c r="K166" s="116">
        <v>3.39914717619096</v>
      </c>
      <c r="L166" s="89">
        <v>1000</v>
      </c>
      <c r="M166" s="117">
        <v>6600</v>
      </c>
      <c r="N166" s="121">
        <v>163.363220545273</v>
      </c>
      <c r="O166" s="89">
        <v>2</v>
      </c>
      <c r="P166" s="119">
        <v>750</v>
      </c>
      <c r="Q166" s="90" t="s">
        <v>90</v>
      </c>
    </row>
    <row r="167" spans="1:17">
      <c r="A167" s="88">
        <v>166</v>
      </c>
      <c r="B167" s="89" t="s">
        <v>255</v>
      </c>
      <c r="C167" s="89">
        <v>9</v>
      </c>
      <c r="D167" s="89">
        <v>10</v>
      </c>
      <c r="E167" s="89" t="s">
        <v>31</v>
      </c>
      <c r="F167" s="89" t="s">
        <v>32</v>
      </c>
      <c r="G167" s="89">
        <v>1</v>
      </c>
      <c r="H167" s="89">
        <v>1</v>
      </c>
      <c r="I167" s="116">
        <v>0.000112162728026415</v>
      </c>
      <c r="J167" s="116">
        <v>0.00595655504042018</v>
      </c>
      <c r="K167" s="116">
        <v>4.55661082607311</v>
      </c>
      <c r="L167" s="89">
        <v>1000</v>
      </c>
      <c r="M167" s="117">
        <v>6600</v>
      </c>
      <c r="N167" s="121">
        <v>218.990994133095</v>
      </c>
      <c r="O167" s="89">
        <v>2</v>
      </c>
      <c r="P167" s="119">
        <v>750</v>
      </c>
      <c r="Q167" s="90" t="s">
        <v>90</v>
      </c>
    </row>
    <row r="168" ht="14.6" spans="1:17">
      <c r="A168" s="91">
        <v>167</v>
      </c>
      <c r="B168" s="92" t="s">
        <v>256</v>
      </c>
      <c r="C168" s="92">
        <v>10</v>
      </c>
      <c r="D168" s="92">
        <v>26</v>
      </c>
      <c r="E168" s="92" t="s">
        <v>32</v>
      </c>
      <c r="F168" s="92" t="s">
        <v>49</v>
      </c>
      <c r="G168" s="92">
        <v>1</v>
      </c>
      <c r="H168" s="92">
        <v>1</v>
      </c>
      <c r="I168" s="116">
        <v>4.74621015521671e-5</v>
      </c>
      <c r="J168" s="116">
        <v>0.00252053980144737</v>
      </c>
      <c r="K168" s="116">
        <v>1.92814787555679</v>
      </c>
      <c r="L168" s="92">
        <v>1000</v>
      </c>
      <c r="M168" s="123">
        <v>6600</v>
      </c>
      <c r="N168" s="126">
        <v>92.6669044649768</v>
      </c>
      <c r="O168" s="92">
        <v>2</v>
      </c>
      <c r="P168" s="125">
        <v>750</v>
      </c>
      <c r="Q168" s="93" t="s">
        <v>90</v>
      </c>
    </row>
    <row r="169" spans="1:17">
      <c r="A169" s="85">
        <v>168</v>
      </c>
      <c r="B169" s="86" t="s">
        <v>257</v>
      </c>
      <c r="C169" s="86">
        <v>43</v>
      </c>
      <c r="D169" s="86">
        <v>4</v>
      </c>
      <c r="E169" s="86" t="s">
        <v>70</v>
      </c>
      <c r="F169" s="86" t="s">
        <v>25</v>
      </c>
      <c r="G169" s="86">
        <v>2</v>
      </c>
      <c r="H169" s="86">
        <v>1</v>
      </c>
      <c r="I169" s="127">
        <v>0.00413575</v>
      </c>
      <c r="J169" s="127" t="s">
        <v>90</v>
      </c>
      <c r="K169" s="127" t="s">
        <v>90</v>
      </c>
      <c r="L169" s="86">
        <v>800</v>
      </c>
      <c r="M169" s="113">
        <v>8000</v>
      </c>
      <c r="N169" s="120">
        <v>1491.2</v>
      </c>
      <c r="O169" s="86">
        <v>1</v>
      </c>
      <c r="P169" s="115">
        <v>600</v>
      </c>
      <c r="Q169" s="128">
        <v>65</v>
      </c>
    </row>
    <row r="170" spans="1:17">
      <c r="A170" s="88">
        <v>169</v>
      </c>
      <c r="B170" s="89" t="s">
        <v>258</v>
      </c>
      <c r="C170" s="89">
        <v>41</v>
      </c>
      <c r="D170" s="89">
        <v>10</v>
      </c>
      <c r="E170" s="89" t="s">
        <v>66</v>
      </c>
      <c r="F170" s="89" t="s">
        <v>32</v>
      </c>
      <c r="G170" s="89">
        <v>2</v>
      </c>
      <c r="H170" s="89">
        <v>1</v>
      </c>
      <c r="I170" s="129">
        <v>0.0034301875</v>
      </c>
      <c r="J170" s="129" t="s">
        <v>90</v>
      </c>
      <c r="K170" s="129" t="s">
        <v>90</v>
      </c>
      <c r="L170" s="89">
        <v>800</v>
      </c>
      <c r="M170" s="117">
        <v>8000</v>
      </c>
      <c r="N170" s="121">
        <v>1236.8</v>
      </c>
      <c r="O170" s="89">
        <v>1</v>
      </c>
      <c r="P170" s="119">
        <v>600</v>
      </c>
      <c r="Q170" s="130">
        <v>65</v>
      </c>
    </row>
    <row r="171" spans="1:17">
      <c r="A171" s="88">
        <v>170</v>
      </c>
      <c r="B171" s="89" t="s">
        <v>259</v>
      </c>
      <c r="C171" s="89">
        <v>42</v>
      </c>
      <c r="D171" s="89">
        <v>11</v>
      </c>
      <c r="E171" s="89" t="s">
        <v>68</v>
      </c>
      <c r="F171" s="89" t="s">
        <v>33</v>
      </c>
      <c r="G171" s="89">
        <v>2</v>
      </c>
      <c r="H171" s="89">
        <v>1</v>
      </c>
      <c r="I171" s="129">
        <v>0.007446790625</v>
      </c>
      <c r="J171" s="129" t="s">
        <v>90</v>
      </c>
      <c r="K171" s="129" t="s">
        <v>90</v>
      </c>
      <c r="L171" s="89">
        <v>800</v>
      </c>
      <c r="M171" s="117">
        <v>8000</v>
      </c>
      <c r="N171" s="121">
        <v>2685.04</v>
      </c>
      <c r="O171" s="89">
        <v>1</v>
      </c>
      <c r="P171" s="119">
        <v>600</v>
      </c>
      <c r="Q171" s="130">
        <v>65</v>
      </c>
    </row>
    <row r="172" spans="1:17">
      <c r="A172" s="88">
        <v>171</v>
      </c>
      <c r="B172" s="89" t="s">
        <v>260</v>
      </c>
      <c r="C172" s="89">
        <v>42</v>
      </c>
      <c r="D172" s="89">
        <v>13</v>
      </c>
      <c r="E172" s="89" t="s">
        <v>68</v>
      </c>
      <c r="F172" s="89" t="s">
        <v>35</v>
      </c>
      <c r="G172" s="89">
        <v>2</v>
      </c>
      <c r="H172" s="89">
        <v>1</v>
      </c>
      <c r="I172" s="129">
        <v>0.007002375</v>
      </c>
      <c r="J172" s="129" t="s">
        <v>90</v>
      </c>
      <c r="K172" s="129" t="s">
        <v>90</v>
      </c>
      <c r="L172" s="89">
        <v>800</v>
      </c>
      <c r="M172" s="117">
        <v>8000</v>
      </c>
      <c r="N172" s="121">
        <v>2524.8</v>
      </c>
      <c r="O172" s="89">
        <v>1</v>
      </c>
      <c r="P172" s="119">
        <v>600</v>
      </c>
      <c r="Q172" s="130">
        <v>65</v>
      </c>
    </row>
    <row r="173" spans="1:17">
      <c r="A173" s="88">
        <v>172</v>
      </c>
      <c r="B173" s="89" t="s">
        <v>261</v>
      </c>
      <c r="C173" s="89">
        <v>43</v>
      </c>
      <c r="D173" s="89">
        <v>16</v>
      </c>
      <c r="E173" s="89" t="s">
        <v>70</v>
      </c>
      <c r="F173" s="89" t="s">
        <v>38</v>
      </c>
      <c r="G173" s="89">
        <v>2</v>
      </c>
      <c r="H173" s="89">
        <v>1</v>
      </c>
      <c r="I173" s="129">
        <v>0.007903586875</v>
      </c>
      <c r="J173" s="129" t="s">
        <v>90</v>
      </c>
      <c r="K173" s="129" t="s">
        <v>90</v>
      </c>
      <c r="L173" s="89">
        <v>800</v>
      </c>
      <c r="M173" s="117">
        <v>8000</v>
      </c>
      <c r="N173" s="121">
        <v>2849.744</v>
      </c>
      <c r="O173" s="89">
        <v>1</v>
      </c>
      <c r="P173" s="119">
        <v>600</v>
      </c>
      <c r="Q173" s="130">
        <v>65</v>
      </c>
    </row>
    <row r="174" spans="1:17">
      <c r="A174" s="88">
        <v>173</v>
      </c>
      <c r="B174" s="89" t="s">
        <v>262</v>
      </c>
      <c r="C174" s="89">
        <v>41</v>
      </c>
      <c r="D174" s="89">
        <v>23</v>
      </c>
      <c r="E174" s="89" t="s">
        <v>66</v>
      </c>
      <c r="F174" s="89" t="s">
        <v>46</v>
      </c>
      <c r="G174" s="89">
        <v>2</v>
      </c>
      <c r="H174" s="89">
        <v>1</v>
      </c>
      <c r="I174" s="129">
        <v>0.00576653125</v>
      </c>
      <c r="J174" s="129" t="s">
        <v>90</v>
      </c>
      <c r="K174" s="129" t="s">
        <v>90</v>
      </c>
      <c r="L174" s="89">
        <v>800</v>
      </c>
      <c r="M174" s="117">
        <v>8000</v>
      </c>
      <c r="N174" s="121">
        <v>2079.2</v>
      </c>
      <c r="O174" s="89">
        <v>1</v>
      </c>
      <c r="P174" s="119">
        <v>600</v>
      </c>
      <c r="Q174" s="130">
        <v>65</v>
      </c>
    </row>
    <row r="175" spans="1:17">
      <c r="A175" s="88">
        <v>174</v>
      </c>
      <c r="B175" s="89" t="s">
        <v>263</v>
      </c>
      <c r="C175" s="89">
        <v>42</v>
      </c>
      <c r="D175" s="89">
        <v>25</v>
      </c>
      <c r="E175" s="89" t="s">
        <v>68</v>
      </c>
      <c r="F175" s="89" t="s">
        <v>48</v>
      </c>
      <c r="G175" s="89">
        <v>2</v>
      </c>
      <c r="H175" s="89">
        <v>1</v>
      </c>
      <c r="I175" s="129">
        <v>0.00980021875</v>
      </c>
      <c r="J175" s="129" t="s">
        <v>90</v>
      </c>
      <c r="K175" s="129" t="s">
        <v>90</v>
      </c>
      <c r="L175" s="89">
        <v>800</v>
      </c>
      <c r="M175" s="117">
        <v>8000</v>
      </c>
      <c r="N175" s="121">
        <v>3533.6</v>
      </c>
      <c r="O175" s="89">
        <v>1</v>
      </c>
      <c r="P175" s="119">
        <v>600</v>
      </c>
      <c r="Q175" s="130">
        <v>65</v>
      </c>
    </row>
    <row r="176" spans="1:17">
      <c r="A176" s="88">
        <v>175</v>
      </c>
      <c r="B176" s="89" t="s">
        <v>264</v>
      </c>
      <c r="C176" s="89">
        <v>43</v>
      </c>
      <c r="D176" s="89">
        <v>27</v>
      </c>
      <c r="E176" s="89" t="s">
        <v>70</v>
      </c>
      <c r="F176" s="89" t="s">
        <v>50</v>
      </c>
      <c r="G176" s="89">
        <v>2</v>
      </c>
      <c r="H176" s="89">
        <v>1</v>
      </c>
      <c r="I176" s="129">
        <v>0.00474590625</v>
      </c>
      <c r="J176" s="129" t="s">
        <v>90</v>
      </c>
      <c r="K176" s="129" t="s">
        <v>90</v>
      </c>
      <c r="L176" s="89">
        <v>800</v>
      </c>
      <c r="M176" s="117">
        <v>8000</v>
      </c>
      <c r="N176" s="121">
        <v>1711.2</v>
      </c>
      <c r="O176" s="89">
        <v>1</v>
      </c>
      <c r="P176" s="119">
        <v>600</v>
      </c>
      <c r="Q176" s="130">
        <v>65</v>
      </c>
    </row>
    <row r="177" spans="1:17">
      <c r="A177" s="88">
        <v>176</v>
      </c>
      <c r="B177" s="89" t="s">
        <v>265</v>
      </c>
      <c r="C177" s="89">
        <v>41</v>
      </c>
      <c r="D177" s="89">
        <v>30</v>
      </c>
      <c r="E177" s="89" t="s">
        <v>66</v>
      </c>
      <c r="F177" s="89" t="s">
        <v>54</v>
      </c>
      <c r="G177" s="89">
        <v>2</v>
      </c>
      <c r="H177" s="89">
        <v>1</v>
      </c>
      <c r="I177" s="129">
        <v>0.00431103125</v>
      </c>
      <c r="J177" s="129" t="s">
        <v>90</v>
      </c>
      <c r="K177" s="129" t="s">
        <v>90</v>
      </c>
      <c r="L177" s="89">
        <v>800</v>
      </c>
      <c r="M177" s="117">
        <v>8000</v>
      </c>
      <c r="N177" s="121">
        <v>1554.4</v>
      </c>
      <c r="O177" s="89">
        <v>1</v>
      </c>
      <c r="P177" s="119">
        <v>600</v>
      </c>
      <c r="Q177" s="130">
        <v>65</v>
      </c>
    </row>
    <row r="178" spans="1:17">
      <c r="A178" s="88">
        <v>177</v>
      </c>
      <c r="B178" s="89" t="s">
        <v>266</v>
      </c>
      <c r="C178" s="89">
        <v>41</v>
      </c>
      <c r="D178" s="89">
        <v>32</v>
      </c>
      <c r="E178" s="89" t="s">
        <v>66</v>
      </c>
      <c r="F178" s="89" t="s">
        <v>56</v>
      </c>
      <c r="G178" s="89">
        <v>2</v>
      </c>
      <c r="H178" s="89">
        <v>1</v>
      </c>
      <c r="I178" s="129">
        <v>0.0042378125</v>
      </c>
      <c r="J178" s="129" t="s">
        <v>90</v>
      </c>
      <c r="K178" s="129" t="s">
        <v>90</v>
      </c>
      <c r="L178" s="89">
        <v>800</v>
      </c>
      <c r="M178" s="117">
        <v>8000</v>
      </c>
      <c r="N178" s="121">
        <v>1528</v>
      </c>
      <c r="O178" s="89">
        <v>1</v>
      </c>
      <c r="P178" s="119">
        <v>600</v>
      </c>
      <c r="Q178" s="130">
        <v>65</v>
      </c>
    </row>
    <row r="179" spans="1:17">
      <c r="A179" s="88">
        <v>178</v>
      </c>
      <c r="B179" s="89" t="s">
        <v>267</v>
      </c>
      <c r="C179" s="89">
        <v>43</v>
      </c>
      <c r="D179" s="89">
        <v>36</v>
      </c>
      <c r="E179" s="89" t="s">
        <v>70</v>
      </c>
      <c r="F179" s="89" t="s">
        <v>60</v>
      </c>
      <c r="G179" s="89">
        <v>2</v>
      </c>
      <c r="H179" s="89">
        <v>1</v>
      </c>
      <c r="I179" s="129">
        <v>0.00852221875</v>
      </c>
      <c r="J179" s="129" t="s">
        <v>90</v>
      </c>
      <c r="K179" s="129" t="s">
        <v>90</v>
      </c>
      <c r="L179" s="89">
        <v>800</v>
      </c>
      <c r="M179" s="117">
        <v>8000</v>
      </c>
      <c r="N179" s="121">
        <v>3072.8</v>
      </c>
      <c r="O179" s="89">
        <v>1</v>
      </c>
      <c r="P179" s="119">
        <v>600</v>
      </c>
      <c r="Q179" s="130">
        <v>65</v>
      </c>
    </row>
    <row r="180" ht="14.6" spans="1:17">
      <c r="A180" s="91">
        <v>179</v>
      </c>
      <c r="B180" s="92" t="s">
        <v>268</v>
      </c>
      <c r="C180" s="92">
        <v>43</v>
      </c>
      <c r="D180" s="92">
        <v>39</v>
      </c>
      <c r="E180" s="92" t="s">
        <v>70</v>
      </c>
      <c r="F180" s="92" t="s">
        <v>64</v>
      </c>
      <c r="G180" s="92">
        <v>2</v>
      </c>
      <c r="H180" s="92">
        <v>1</v>
      </c>
      <c r="I180" s="131">
        <v>0.00600171875</v>
      </c>
      <c r="J180" s="131" t="s">
        <v>90</v>
      </c>
      <c r="K180" s="131" t="s">
        <v>90</v>
      </c>
      <c r="L180" s="92">
        <v>800</v>
      </c>
      <c r="M180" s="123">
        <v>8000</v>
      </c>
      <c r="N180" s="126">
        <v>2164</v>
      </c>
      <c r="O180" s="92">
        <v>1</v>
      </c>
      <c r="P180" s="125">
        <v>600</v>
      </c>
      <c r="Q180" s="132">
        <v>65</v>
      </c>
    </row>
  </sheetData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437"/>
  <sheetViews>
    <sheetView tabSelected="1" zoomScale="115" zoomScaleNormal="115" topLeftCell="J1" workbookViewId="0">
      <pane ySplit="1" topLeftCell="A2" activePane="bottomLeft" state="frozen"/>
      <selection/>
      <selection pane="bottomLeft" activeCell="L79" sqref="L79"/>
    </sheetView>
  </sheetViews>
  <sheetFormatPr defaultColWidth="9" defaultRowHeight="13.85"/>
  <cols>
    <col min="1" max="1" width="10.5575221238938" style="27" customWidth="1"/>
    <col min="2" max="2" width="10" style="27" customWidth="1"/>
    <col min="3" max="3" width="12.1061946902655" style="27" customWidth="1"/>
    <col min="4" max="4" width="8.88495575221239" style="27" customWidth="1"/>
    <col min="5" max="5" width="19.6637168141593" style="27" customWidth="1"/>
    <col min="6" max="6" width="18" style="27" customWidth="1"/>
    <col min="7" max="7" width="29.4424778761062" style="27" customWidth="1"/>
    <col min="8" max="8" width="29.7787610619469" style="27" customWidth="1"/>
    <col min="9" max="9" width="31.5575221238938" style="27" customWidth="1"/>
    <col min="10" max="11" width="34.2212389380531" style="27" customWidth="1"/>
    <col min="12" max="12" width="28.2212389380531" style="27" customWidth="1"/>
    <col min="13" max="13" width="23.3362831858407" style="27" customWidth="1"/>
    <col min="14" max="14" width="24.1061946902655" style="27" customWidth="1"/>
    <col min="15" max="15" width="22.8849557522124" style="27" customWidth="1"/>
    <col min="16" max="16" width="10.2212389380531" style="27" customWidth="1"/>
    <col min="17" max="17" width="27.2212389380531" style="27" customWidth="1"/>
    <col min="18" max="18" width="23.6637168141593" style="27" customWidth="1"/>
    <col min="19" max="19" width="20.1061946902655" style="27" customWidth="1"/>
    <col min="20" max="20" width="18.8849557522124" style="27" customWidth="1"/>
    <col min="21" max="21" width="12" style="27" customWidth="1"/>
    <col min="22" max="16384" width="8.88495575221239" style="27"/>
  </cols>
  <sheetData>
    <row r="1" s="97" customFormat="1" ht="36" spans="1:21">
      <c r="A1" s="98" t="s">
        <v>269</v>
      </c>
      <c r="B1" s="99" t="s">
        <v>17</v>
      </c>
      <c r="C1" s="99" t="s">
        <v>270</v>
      </c>
      <c r="D1" s="99" t="s">
        <v>19</v>
      </c>
      <c r="E1" s="99" t="s">
        <v>79</v>
      </c>
      <c r="F1" s="99" t="s">
        <v>271</v>
      </c>
      <c r="G1" s="99" t="s">
        <v>272</v>
      </c>
      <c r="H1" s="99" t="s">
        <v>273</v>
      </c>
      <c r="I1" s="99" t="s">
        <v>274</v>
      </c>
      <c r="J1" s="99" t="s">
        <v>275</v>
      </c>
      <c r="K1" s="99" t="s">
        <v>276</v>
      </c>
      <c r="L1" s="100" t="s">
        <v>277</v>
      </c>
      <c r="M1" s="100" t="s">
        <v>278</v>
      </c>
      <c r="N1" s="100" t="s">
        <v>279</v>
      </c>
      <c r="O1" s="100" t="s">
        <v>280</v>
      </c>
      <c r="P1" s="100" t="s">
        <v>281</v>
      </c>
      <c r="Q1" s="100" t="s">
        <v>282</v>
      </c>
      <c r="R1" s="100" t="s">
        <v>283</v>
      </c>
      <c r="S1" s="100" t="s">
        <v>284</v>
      </c>
      <c r="T1" s="100" t="s">
        <v>285</v>
      </c>
      <c r="U1" s="101" t="s">
        <v>286</v>
      </c>
    </row>
    <row r="2" spans="1:21">
      <c r="A2" s="85">
        <v>1</v>
      </c>
      <c r="B2" s="86">
        <v>1</v>
      </c>
      <c r="C2" s="86">
        <v>3</v>
      </c>
      <c r="D2" s="86" t="s">
        <v>22</v>
      </c>
      <c r="E2" s="86">
        <v>0</v>
      </c>
      <c r="F2" s="86">
        <v>848</v>
      </c>
      <c r="G2" s="86">
        <v>0</v>
      </c>
      <c r="H2" s="86">
        <v>30</v>
      </c>
      <c r="I2" s="86">
        <v>7</v>
      </c>
      <c r="J2" s="86">
        <v>2</v>
      </c>
      <c r="K2" s="86">
        <v>1</v>
      </c>
      <c r="L2" s="86">
        <v>9.8</v>
      </c>
      <c r="M2" s="86">
        <v>0.053302</v>
      </c>
      <c r="N2" s="86">
        <v>80</v>
      </c>
      <c r="O2" s="86">
        <v>200</v>
      </c>
      <c r="P2" s="86">
        <v>30</v>
      </c>
      <c r="Q2" s="86">
        <v>0.31</v>
      </c>
      <c r="R2" s="86" t="s">
        <v>90</v>
      </c>
      <c r="S2" s="86" t="s">
        <v>90</v>
      </c>
      <c r="T2" s="86" t="s">
        <v>90</v>
      </c>
      <c r="U2" s="87" t="s">
        <v>90</v>
      </c>
    </row>
    <row r="3" spans="1:21">
      <c r="A3" s="88">
        <v>2</v>
      </c>
      <c r="B3" s="89">
        <v>1</v>
      </c>
      <c r="C3" s="89">
        <v>12</v>
      </c>
      <c r="D3" s="89" t="s">
        <v>22</v>
      </c>
      <c r="E3" s="89">
        <v>0</v>
      </c>
      <c r="F3" s="89">
        <v>120.49</v>
      </c>
      <c r="G3" s="89">
        <v>0</v>
      </c>
      <c r="H3" s="89">
        <v>0</v>
      </c>
      <c r="I3" s="89">
        <v>100</v>
      </c>
      <c r="J3" s="89">
        <v>0</v>
      </c>
      <c r="K3" s="89">
        <v>0</v>
      </c>
      <c r="L3" s="89">
        <v>6.3</v>
      </c>
      <c r="M3" s="89">
        <v>0</v>
      </c>
      <c r="N3" s="89">
        <v>0</v>
      </c>
      <c r="O3" s="89">
        <v>420</v>
      </c>
      <c r="P3" s="89">
        <v>25</v>
      </c>
      <c r="Q3" s="89">
        <v>0</v>
      </c>
      <c r="R3" s="89" t="s">
        <v>90</v>
      </c>
      <c r="S3" s="89" t="s">
        <v>90</v>
      </c>
      <c r="T3" s="89" t="s">
        <v>90</v>
      </c>
      <c r="U3" s="90" t="s">
        <v>90</v>
      </c>
    </row>
    <row r="4" spans="1:21">
      <c r="A4" s="88">
        <v>3</v>
      </c>
      <c r="B4" s="89">
        <v>2</v>
      </c>
      <c r="C4" s="89">
        <v>1</v>
      </c>
      <c r="D4" s="89" t="s">
        <v>22</v>
      </c>
      <c r="E4" s="89">
        <v>0</v>
      </c>
      <c r="F4" s="89">
        <v>4000</v>
      </c>
      <c r="G4" s="89">
        <v>0</v>
      </c>
      <c r="H4" s="89">
        <v>35</v>
      </c>
      <c r="I4" s="89">
        <v>3</v>
      </c>
      <c r="J4" s="89">
        <v>48</v>
      </c>
      <c r="K4" s="89">
        <v>12</v>
      </c>
      <c r="L4" s="89">
        <v>6.2</v>
      </c>
      <c r="M4" s="89">
        <v>0.0269462660944206</v>
      </c>
      <c r="N4" s="89">
        <v>100</v>
      </c>
      <c r="O4" s="89">
        <v>350</v>
      </c>
      <c r="P4" s="89">
        <v>30</v>
      </c>
      <c r="Q4" s="89">
        <v>0.76</v>
      </c>
      <c r="R4" s="89" t="s">
        <v>90</v>
      </c>
      <c r="S4" s="89" t="s">
        <v>90</v>
      </c>
      <c r="T4" s="89" t="s">
        <v>90</v>
      </c>
      <c r="U4" s="90" t="s">
        <v>90</v>
      </c>
    </row>
    <row r="5" spans="1:21">
      <c r="A5" s="88">
        <v>4</v>
      </c>
      <c r="B5" s="89">
        <v>2</v>
      </c>
      <c r="C5" s="89">
        <v>2</v>
      </c>
      <c r="D5" s="89" t="s">
        <v>22</v>
      </c>
      <c r="E5" s="89">
        <v>0</v>
      </c>
      <c r="F5" s="89">
        <v>425</v>
      </c>
      <c r="G5" s="89">
        <v>0</v>
      </c>
      <c r="H5" s="89">
        <v>50</v>
      </c>
      <c r="I5" s="89">
        <v>1</v>
      </c>
      <c r="J5" s="89">
        <v>24</v>
      </c>
      <c r="K5" s="89">
        <v>6</v>
      </c>
      <c r="L5" s="89">
        <v>6.2</v>
      </c>
      <c r="M5" s="89">
        <v>0.030185</v>
      </c>
      <c r="N5" s="89">
        <v>30</v>
      </c>
      <c r="O5" s="89">
        <v>420</v>
      </c>
      <c r="P5" s="89">
        <v>30</v>
      </c>
      <c r="Q5" s="89">
        <v>0.85</v>
      </c>
      <c r="R5" s="89" t="s">
        <v>90</v>
      </c>
      <c r="S5" s="89" t="s">
        <v>90</v>
      </c>
      <c r="T5" s="89" t="s">
        <v>90</v>
      </c>
      <c r="U5" s="90" t="s">
        <v>90</v>
      </c>
    </row>
    <row r="6" spans="1:21">
      <c r="A6" s="88">
        <v>5</v>
      </c>
      <c r="B6" s="89">
        <v>2</v>
      </c>
      <c r="C6" s="89">
        <v>3</v>
      </c>
      <c r="D6" s="89" t="s">
        <v>22</v>
      </c>
      <c r="E6" s="89">
        <v>0</v>
      </c>
      <c r="F6" s="89">
        <v>5008</v>
      </c>
      <c r="G6" s="89">
        <v>0</v>
      </c>
      <c r="H6" s="89">
        <v>30</v>
      </c>
      <c r="I6" s="89">
        <v>7</v>
      </c>
      <c r="J6" s="89">
        <v>2</v>
      </c>
      <c r="K6" s="89">
        <v>1</v>
      </c>
      <c r="L6" s="89">
        <v>9.8</v>
      </c>
      <c r="M6" s="89">
        <v>0.053302</v>
      </c>
      <c r="N6" s="89">
        <v>80</v>
      </c>
      <c r="O6" s="89">
        <v>200</v>
      </c>
      <c r="P6" s="89">
        <v>30</v>
      </c>
      <c r="Q6" s="89">
        <v>0.31</v>
      </c>
      <c r="R6" s="89" t="s">
        <v>90</v>
      </c>
      <c r="S6" s="89" t="s">
        <v>90</v>
      </c>
      <c r="T6" s="89" t="s">
        <v>90</v>
      </c>
      <c r="U6" s="90" t="s">
        <v>90</v>
      </c>
    </row>
    <row r="7" spans="1:21">
      <c r="A7" s="88">
        <v>6</v>
      </c>
      <c r="B7" s="89">
        <v>2</v>
      </c>
      <c r="C7" s="89">
        <v>12</v>
      </c>
      <c r="D7" s="89" t="s">
        <v>22</v>
      </c>
      <c r="E7" s="89">
        <v>0</v>
      </c>
      <c r="F7" s="89">
        <v>148.64</v>
      </c>
      <c r="G7" s="89">
        <v>0</v>
      </c>
      <c r="H7" s="89">
        <v>0</v>
      </c>
      <c r="I7" s="89">
        <v>100</v>
      </c>
      <c r="J7" s="89">
        <v>0</v>
      </c>
      <c r="K7" s="89">
        <v>0</v>
      </c>
      <c r="L7" s="89">
        <v>6.3</v>
      </c>
      <c r="M7" s="89">
        <v>0</v>
      </c>
      <c r="N7" s="89">
        <v>0</v>
      </c>
      <c r="O7" s="89">
        <v>420</v>
      </c>
      <c r="P7" s="89">
        <v>25</v>
      </c>
      <c r="Q7" s="89">
        <v>0</v>
      </c>
      <c r="R7" s="89" t="s">
        <v>90</v>
      </c>
      <c r="S7" s="89" t="s">
        <v>90</v>
      </c>
      <c r="T7" s="89" t="s">
        <v>90</v>
      </c>
      <c r="U7" s="90" t="s">
        <v>90</v>
      </c>
    </row>
    <row r="8" spans="1:21">
      <c r="A8" s="88">
        <v>7</v>
      </c>
      <c r="B8" s="89">
        <v>2</v>
      </c>
      <c r="C8" s="89">
        <v>15</v>
      </c>
      <c r="D8" s="89" t="s">
        <v>22</v>
      </c>
      <c r="E8" s="89">
        <v>0</v>
      </c>
      <c r="F8" s="89">
        <v>722</v>
      </c>
      <c r="G8" s="89">
        <v>0</v>
      </c>
      <c r="H8" s="89">
        <v>0</v>
      </c>
      <c r="I8" s="89">
        <v>100</v>
      </c>
      <c r="J8" s="89">
        <v>0</v>
      </c>
      <c r="K8" s="89">
        <v>0</v>
      </c>
      <c r="L8" s="89">
        <v>43.45</v>
      </c>
      <c r="M8" s="89">
        <v>0</v>
      </c>
      <c r="N8" s="89">
        <v>0</v>
      </c>
      <c r="O8" s="89">
        <v>1400</v>
      </c>
      <c r="P8" s="89">
        <v>25</v>
      </c>
      <c r="Q8" s="89">
        <v>0</v>
      </c>
      <c r="R8" s="89" t="s">
        <v>90</v>
      </c>
      <c r="S8" s="89" t="s">
        <v>90</v>
      </c>
      <c r="T8" s="89" t="s">
        <v>90</v>
      </c>
      <c r="U8" s="90" t="s">
        <v>90</v>
      </c>
    </row>
    <row r="9" spans="1:21">
      <c r="A9" s="88">
        <v>8</v>
      </c>
      <c r="B9" s="89">
        <v>2</v>
      </c>
      <c r="C9" s="89">
        <v>31</v>
      </c>
      <c r="D9" s="89" t="s">
        <v>22</v>
      </c>
      <c r="E9" s="89">
        <v>0</v>
      </c>
      <c r="F9" s="89">
        <v>4160</v>
      </c>
      <c r="G9" s="89">
        <v>0</v>
      </c>
      <c r="H9" s="89">
        <v>0</v>
      </c>
      <c r="I9" s="89">
        <v>0.1</v>
      </c>
      <c r="J9" s="89">
        <v>0</v>
      </c>
      <c r="K9" s="89">
        <v>0</v>
      </c>
      <c r="L9" s="89">
        <v>15.772</v>
      </c>
      <c r="M9" s="89">
        <v>0.0176475</v>
      </c>
      <c r="N9" s="89">
        <v>0</v>
      </c>
      <c r="O9" s="89">
        <v>0</v>
      </c>
      <c r="P9" s="89">
        <v>80</v>
      </c>
      <c r="Q9" s="89">
        <v>0</v>
      </c>
      <c r="R9" s="89" t="s">
        <v>90</v>
      </c>
      <c r="S9" s="89" t="s">
        <v>90</v>
      </c>
      <c r="T9" s="89" t="s">
        <v>90</v>
      </c>
      <c r="U9" s="90" t="s">
        <v>90</v>
      </c>
    </row>
    <row r="10" spans="1:21">
      <c r="A10" s="88">
        <v>9</v>
      </c>
      <c r="B10" s="89">
        <v>3</v>
      </c>
      <c r="C10" s="89">
        <v>1</v>
      </c>
      <c r="D10" s="89" t="s">
        <v>22</v>
      </c>
      <c r="E10" s="89">
        <v>0</v>
      </c>
      <c r="F10" s="89">
        <v>5800</v>
      </c>
      <c r="G10" s="89">
        <v>0</v>
      </c>
      <c r="H10" s="89">
        <v>35</v>
      </c>
      <c r="I10" s="89">
        <v>3</v>
      </c>
      <c r="J10" s="89">
        <v>48</v>
      </c>
      <c r="K10" s="89">
        <v>12</v>
      </c>
      <c r="L10" s="89">
        <v>6.2</v>
      </c>
      <c r="M10" s="89">
        <v>0.0269462660944206</v>
      </c>
      <c r="N10" s="89">
        <v>100</v>
      </c>
      <c r="O10" s="89">
        <v>350</v>
      </c>
      <c r="P10" s="89">
        <v>30</v>
      </c>
      <c r="Q10" s="89">
        <v>0.76</v>
      </c>
      <c r="R10" s="89" t="s">
        <v>90</v>
      </c>
      <c r="S10" s="89" t="s">
        <v>90</v>
      </c>
      <c r="T10" s="89" t="s">
        <v>90</v>
      </c>
      <c r="U10" s="90" t="s">
        <v>90</v>
      </c>
    </row>
    <row r="11" spans="1:21">
      <c r="A11" s="88">
        <v>10</v>
      </c>
      <c r="B11" s="89">
        <v>3</v>
      </c>
      <c r="C11" s="89">
        <v>3</v>
      </c>
      <c r="D11" s="89" t="s">
        <v>22</v>
      </c>
      <c r="E11" s="89">
        <v>0</v>
      </c>
      <c r="F11" s="89">
        <v>3936</v>
      </c>
      <c r="G11" s="89">
        <v>0</v>
      </c>
      <c r="H11" s="89">
        <v>30</v>
      </c>
      <c r="I11" s="89">
        <v>7</v>
      </c>
      <c r="J11" s="89">
        <v>2</v>
      </c>
      <c r="K11" s="89">
        <v>1</v>
      </c>
      <c r="L11" s="89">
        <v>9.8</v>
      </c>
      <c r="M11" s="89">
        <v>0.053302</v>
      </c>
      <c r="N11" s="89">
        <v>80</v>
      </c>
      <c r="O11" s="89">
        <v>200</v>
      </c>
      <c r="P11" s="89">
        <v>30</v>
      </c>
      <c r="Q11" s="89">
        <v>0.31</v>
      </c>
      <c r="R11" s="89" t="s">
        <v>90</v>
      </c>
      <c r="S11" s="89" t="s">
        <v>90</v>
      </c>
      <c r="T11" s="89" t="s">
        <v>90</v>
      </c>
      <c r="U11" s="90" t="s">
        <v>90</v>
      </c>
    </row>
    <row r="12" spans="1:21">
      <c r="A12" s="88">
        <v>11</v>
      </c>
      <c r="B12" s="89">
        <v>3</v>
      </c>
      <c r="C12" s="89">
        <v>12</v>
      </c>
      <c r="D12" s="89" t="s">
        <v>22</v>
      </c>
      <c r="E12" s="89">
        <v>0</v>
      </c>
      <c r="F12" s="89">
        <v>146</v>
      </c>
      <c r="G12" s="89">
        <v>0</v>
      </c>
      <c r="H12" s="89">
        <v>0</v>
      </c>
      <c r="I12" s="89">
        <v>100</v>
      </c>
      <c r="J12" s="89">
        <v>0</v>
      </c>
      <c r="K12" s="89">
        <v>0</v>
      </c>
      <c r="L12" s="89">
        <v>6.3</v>
      </c>
      <c r="M12" s="89">
        <v>0</v>
      </c>
      <c r="N12" s="89">
        <v>0</v>
      </c>
      <c r="O12" s="89">
        <v>420</v>
      </c>
      <c r="P12" s="89">
        <v>25</v>
      </c>
      <c r="Q12" s="89">
        <v>0</v>
      </c>
      <c r="R12" s="89" t="s">
        <v>90</v>
      </c>
      <c r="S12" s="89" t="s">
        <v>90</v>
      </c>
      <c r="T12" s="89" t="s">
        <v>90</v>
      </c>
      <c r="U12" s="90" t="s">
        <v>90</v>
      </c>
    </row>
    <row r="13" spans="1:21">
      <c r="A13" s="88">
        <v>12</v>
      </c>
      <c r="B13" s="89">
        <v>3</v>
      </c>
      <c r="C13" s="89">
        <v>15</v>
      </c>
      <c r="D13" s="89" t="s">
        <v>22</v>
      </c>
      <c r="E13" s="89">
        <v>0</v>
      </c>
      <c r="F13" s="89">
        <v>883</v>
      </c>
      <c r="G13" s="89">
        <v>0</v>
      </c>
      <c r="H13" s="89">
        <v>0</v>
      </c>
      <c r="I13" s="89">
        <v>100</v>
      </c>
      <c r="J13" s="89">
        <v>0</v>
      </c>
      <c r="K13" s="89">
        <v>0</v>
      </c>
      <c r="L13" s="89">
        <v>43.45</v>
      </c>
      <c r="M13" s="89">
        <v>0</v>
      </c>
      <c r="N13" s="89">
        <v>0</v>
      </c>
      <c r="O13" s="89">
        <v>1400</v>
      </c>
      <c r="P13" s="89">
        <v>25</v>
      </c>
      <c r="Q13" s="89">
        <v>0</v>
      </c>
      <c r="R13" s="89" t="s">
        <v>90</v>
      </c>
      <c r="S13" s="89" t="s">
        <v>90</v>
      </c>
      <c r="T13" s="89" t="s">
        <v>90</v>
      </c>
      <c r="U13" s="90" t="s">
        <v>90</v>
      </c>
    </row>
    <row r="14" spans="1:21">
      <c r="A14" s="88">
        <v>13</v>
      </c>
      <c r="B14" s="89">
        <v>3</v>
      </c>
      <c r="C14" s="89">
        <v>31</v>
      </c>
      <c r="D14" s="89" t="s">
        <v>22</v>
      </c>
      <c r="E14" s="89">
        <v>0</v>
      </c>
      <c r="F14" s="89">
        <v>6400</v>
      </c>
      <c r="G14" s="89">
        <v>0</v>
      </c>
      <c r="H14" s="89">
        <v>0</v>
      </c>
      <c r="I14" s="89">
        <v>0.1</v>
      </c>
      <c r="J14" s="89">
        <v>0</v>
      </c>
      <c r="K14" s="89">
        <v>0</v>
      </c>
      <c r="L14" s="89">
        <v>15.772</v>
      </c>
      <c r="M14" s="89">
        <v>0.0176475</v>
      </c>
      <c r="N14" s="89">
        <v>0</v>
      </c>
      <c r="O14" s="89">
        <v>0</v>
      </c>
      <c r="P14" s="89">
        <v>80</v>
      </c>
      <c r="Q14" s="89">
        <v>0</v>
      </c>
      <c r="R14" s="89" t="s">
        <v>90</v>
      </c>
      <c r="S14" s="89" t="s">
        <v>90</v>
      </c>
      <c r="T14" s="89" t="s">
        <v>90</v>
      </c>
      <c r="U14" s="90" t="s">
        <v>90</v>
      </c>
    </row>
    <row r="15" spans="1:21">
      <c r="A15" s="88">
        <v>14</v>
      </c>
      <c r="B15" s="89">
        <v>4</v>
      </c>
      <c r="C15" s="89">
        <v>1</v>
      </c>
      <c r="D15" s="89" t="s">
        <v>22</v>
      </c>
      <c r="E15" s="89">
        <v>0</v>
      </c>
      <c r="F15" s="89">
        <v>4470</v>
      </c>
      <c r="G15" s="89">
        <v>0</v>
      </c>
      <c r="H15" s="89">
        <v>35</v>
      </c>
      <c r="I15" s="89">
        <v>3</v>
      </c>
      <c r="J15" s="89">
        <v>48</v>
      </c>
      <c r="K15" s="89">
        <v>12</v>
      </c>
      <c r="L15" s="89">
        <v>6.2</v>
      </c>
      <c r="M15" s="89">
        <v>0.0269462660944206</v>
      </c>
      <c r="N15" s="89">
        <v>100</v>
      </c>
      <c r="O15" s="89">
        <v>350</v>
      </c>
      <c r="P15" s="89">
        <v>30</v>
      </c>
      <c r="Q15" s="89">
        <v>0.76</v>
      </c>
      <c r="R15" s="89" t="s">
        <v>90</v>
      </c>
      <c r="S15" s="89" t="s">
        <v>90</v>
      </c>
      <c r="T15" s="89" t="s">
        <v>90</v>
      </c>
      <c r="U15" s="90" t="s">
        <v>90</v>
      </c>
    </row>
    <row r="16" spans="1:21">
      <c r="A16" s="88">
        <v>15</v>
      </c>
      <c r="B16" s="89">
        <v>4</v>
      </c>
      <c r="C16" s="89">
        <v>2</v>
      </c>
      <c r="D16" s="89" t="s">
        <v>22</v>
      </c>
      <c r="E16" s="89">
        <v>0</v>
      </c>
      <c r="F16" s="89">
        <v>1550</v>
      </c>
      <c r="G16" s="89">
        <v>0</v>
      </c>
      <c r="H16" s="89">
        <v>50</v>
      </c>
      <c r="I16" s="89">
        <v>1</v>
      </c>
      <c r="J16" s="89">
        <v>24</v>
      </c>
      <c r="K16" s="89">
        <v>6</v>
      </c>
      <c r="L16" s="89">
        <v>6.2</v>
      </c>
      <c r="M16" s="89">
        <v>0.030185</v>
      </c>
      <c r="N16" s="89">
        <v>30</v>
      </c>
      <c r="O16" s="89">
        <v>420</v>
      </c>
      <c r="P16" s="89">
        <v>30</v>
      </c>
      <c r="Q16" s="89">
        <v>0.85</v>
      </c>
      <c r="R16" s="89" t="s">
        <v>90</v>
      </c>
      <c r="S16" s="89" t="s">
        <v>90</v>
      </c>
      <c r="T16" s="89" t="s">
        <v>90</v>
      </c>
      <c r="U16" s="90" t="s">
        <v>90</v>
      </c>
    </row>
    <row r="17" spans="1:21">
      <c r="A17" s="88">
        <v>16</v>
      </c>
      <c r="B17" s="89">
        <v>4</v>
      </c>
      <c r="C17" s="89">
        <v>3</v>
      </c>
      <c r="D17" s="89" t="s">
        <v>22</v>
      </c>
      <c r="E17" s="89">
        <v>0</v>
      </c>
      <c r="F17" s="89">
        <v>1448</v>
      </c>
      <c r="G17" s="89">
        <v>0</v>
      </c>
      <c r="H17" s="89">
        <v>30</v>
      </c>
      <c r="I17" s="89">
        <v>7</v>
      </c>
      <c r="J17" s="89">
        <v>2</v>
      </c>
      <c r="K17" s="89">
        <v>1</v>
      </c>
      <c r="L17" s="89">
        <v>9.8</v>
      </c>
      <c r="M17" s="89">
        <v>0.053302</v>
      </c>
      <c r="N17" s="89">
        <v>80</v>
      </c>
      <c r="O17" s="89">
        <v>200</v>
      </c>
      <c r="P17" s="89">
        <v>30</v>
      </c>
      <c r="Q17" s="89">
        <v>0.31</v>
      </c>
      <c r="R17" s="89" t="s">
        <v>90</v>
      </c>
      <c r="S17" s="89" t="s">
        <v>90</v>
      </c>
      <c r="T17" s="89" t="s">
        <v>90</v>
      </c>
      <c r="U17" s="90" t="s">
        <v>90</v>
      </c>
    </row>
    <row r="18" spans="1:21">
      <c r="A18" s="88">
        <v>17</v>
      </c>
      <c r="B18" s="89">
        <v>4</v>
      </c>
      <c r="C18" s="89">
        <v>12</v>
      </c>
      <c r="D18" s="89" t="s">
        <v>22</v>
      </c>
      <c r="E18" s="89">
        <v>0</v>
      </c>
      <c r="F18" s="89">
        <v>70.64</v>
      </c>
      <c r="G18" s="89">
        <v>0</v>
      </c>
      <c r="H18" s="89">
        <v>0</v>
      </c>
      <c r="I18" s="89">
        <v>100</v>
      </c>
      <c r="J18" s="89">
        <v>0</v>
      </c>
      <c r="K18" s="89">
        <v>0</v>
      </c>
      <c r="L18" s="89">
        <v>6.3</v>
      </c>
      <c r="M18" s="89">
        <v>0</v>
      </c>
      <c r="N18" s="89">
        <v>0</v>
      </c>
      <c r="O18" s="89">
        <v>420</v>
      </c>
      <c r="P18" s="89">
        <v>25</v>
      </c>
      <c r="Q18" s="89">
        <v>0</v>
      </c>
      <c r="R18" s="89" t="s">
        <v>90</v>
      </c>
      <c r="S18" s="89" t="s">
        <v>90</v>
      </c>
      <c r="T18" s="89" t="s">
        <v>90</v>
      </c>
      <c r="U18" s="90" t="s">
        <v>90</v>
      </c>
    </row>
    <row r="19" spans="1:21">
      <c r="A19" s="88">
        <v>18</v>
      </c>
      <c r="B19" s="89">
        <v>4</v>
      </c>
      <c r="C19" s="89">
        <v>31</v>
      </c>
      <c r="D19" s="89" t="s">
        <v>22</v>
      </c>
      <c r="E19" s="89">
        <v>0</v>
      </c>
      <c r="F19" s="89">
        <v>3000</v>
      </c>
      <c r="G19" s="89">
        <v>0</v>
      </c>
      <c r="H19" s="89">
        <v>0</v>
      </c>
      <c r="I19" s="89">
        <v>0.1</v>
      </c>
      <c r="J19" s="89">
        <v>0</v>
      </c>
      <c r="K19" s="89">
        <v>0</v>
      </c>
      <c r="L19" s="89">
        <v>15.772</v>
      </c>
      <c r="M19" s="89">
        <v>0.0176475</v>
      </c>
      <c r="N19" s="89">
        <v>0</v>
      </c>
      <c r="O19" s="89">
        <v>0</v>
      </c>
      <c r="P19" s="89">
        <v>80</v>
      </c>
      <c r="Q19" s="89">
        <v>0</v>
      </c>
      <c r="R19" s="89" t="s">
        <v>90</v>
      </c>
      <c r="S19" s="89" t="s">
        <v>90</v>
      </c>
      <c r="T19" s="89" t="s">
        <v>90</v>
      </c>
      <c r="U19" s="90" t="s">
        <v>90</v>
      </c>
    </row>
    <row r="20" spans="1:21">
      <c r="A20" s="88">
        <v>19</v>
      </c>
      <c r="B20" s="89">
        <v>5</v>
      </c>
      <c r="C20" s="89">
        <v>1</v>
      </c>
      <c r="D20" s="89" t="s">
        <v>27</v>
      </c>
      <c r="E20" s="89">
        <v>0</v>
      </c>
      <c r="F20" s="89">
        <v>17944</v>
      </c>
      <c r="G20" s="89">
        <v>0</v>
      </c>
      <c r="H20" s="89">
        <v>35</v>
      </c>
      <c r="I20" s="89">
        <v>3</v>
      </c>
      <c r="J20" s="89">
        <v>48</v>
      </c>
      <c r="K20" s="89">
        <v>12</v>
      </c>
      <c r="L20" s="89">
        <v>6.2</v>
      </c>
      <c r="M20" s="89">
        <v>0.0258928755364807</v>
      </c>
      <c r="N20" s="89">
        <v>100</v>
      </c>
      <c r="O20" s="89">
        <v>350</v>
      </c>
      <c r="P20" s="89">
        <v>30</v>
      </c>
      <c r="Q20" s="89">
        <v>0.76</v>
      </c>
      <c r="R20" s="89" t="s">
        <v>90</v>
      </c>
      <c r="S20" s="89" t="s">
        <v>90</v>
      </c>
      <c r="T20" s="89" t="s">
        <v>90</v>
      </c>
      <c r="U20" s="90" t="s">
        <v>90</v>
      </c>
    </row>
    <row r="21" spans="1:21">
      <c r="A21" s="88">
        <v>20</v>
      </c>
      <c r="B21" s="89">
        <v>5</v>
      </c>
      <c r="C21" s="89">
        <v>2</v>
      </c>
      <c r="D21" s="89" t="s">
        <v>27</v>
      </c>
      <c r="E21" s="89">
        <v>0</v>
      </c>
      <c r="F21" s="89">
        <v>3446.7</v>
      </c>
      <c r="G21" s="89">
        <v>0</v>
      </c>
      <c r="H21" s="89">
        <v>50</v>
      </c>
      <c r="I21" s="89">
        <v>1</v>
      </c>
      <c r="J21" s="89">
        <v>24</v>
      </c>
      <c r="K21" s="89">
        <v>6</v>
      </c>
      <c r="L21" s="89">
        <v>6.2</v>
      </c>
      <c r="M21" s="89">
        <v>0.029005</v>
      </c>
      <c r="N21" s="89">
        <v>30</v>
      </c>
      <c r="O21" s="89">
        <v>420</v>
      </c>
      <c r="P21" s="89">
        <v>30</v>
      </c>
      <c r="Q21" s="89">
        <v>0.85</v>
      </c>
      <c r="R21" s="89" t="s">
        <v>90</v>
      </c>
      <c r="S21" s="89" t="s">
        <v>90</v>
      </c>
      <c r="T21" s="89" t="s">
        <v>90</v>
      </c>
      <c r="U21" s="90" t="s">
        <v>90</v>
      </c>
    </row>
    <row r="22" spans="1:21">
      <c r="A22" s="88">
        <v>21</v>
      </c>
      <c r="B22" s="89">
        <v>5</v>
      </c>
      <c r="C22" s="89">
        <v>3</v>
      </c>
      <c r="D22" s="89" t="s">
        <v>27</v>
      </c>
      <c r="E22" s="89">
        <v>0</v>
      </c>
      <c r="F22" s="89">
        <v>4733</v>
      </c>
      <c r="G22" s="89">
        <v>0</v>
      </c>
      <c r="H22" s="89">
        <v>30</v>
      </c>
      <c r="I22" s="89">
        <v>7</v>
      </c>
      <c r="J22" s="89">
        <v>2</v>
      </c>
      <c r="K22" s="89">
        <v>1</v>
      </c>
      <c r="L22" s="89">
        <v>9.8</v>
      </c>
      <c r="M22" s="89">
        <v>0.052793</v>
      </c>
      <c r="N22" s="89">
        <v>80</v>
      </c>
      <c r="O22" s="89">
        <v>200</v>
      </c>
      <c r="P22" s="89">
        <v>30</v>
      </c>
      <c r="Q22" s="89">
        <v>0.31</v>
      </c>
      <c r="R22" s="89" t="s">
        <v>90</v>
      </c>
      <c r="S22" s="89" t="s">
        <v>90</v>
      </c>
      <c r="T22" s="89" t="s">
        <v>90</v>
      </c>
      <c r="U22" s="90" t="s">
        <v>90</v>
      </c>
    </row>
    <row r="23" spans="1:21">
      <c r="A23" s="88">
        <v>22</v>
      </c>
      <c r="B23" s="89">
        <v>5</v>
      </c>
      <c r="C23" s="89">
        <v>12</v>
      </c>
      <c r="D23" s="89" t="s">
        <v>27</v>
      </c>
      <c r="E23" s="89">
        <v>0</v>
      </c>
      <c r="F23" s="89">
        <v>813.99</v>
      </c>
      <c r="G23" s="89">
        <v>0</v>
      </c>
      <c r="H23" s="89">
        <v>0</v>
      </c>
      <c r="I23" s="89">
        <v>100</v>
      </c>
      <c r="J23" s="89">
        <v>0</v>
      </c>
      <c r="K23" s="89">
        <v>0</v>
      </c>
      <c r="L23" s="89">
        <v>6.3</v>
      </c>
      <c r="M23" s="89">
        <v>0</v>
      </c>
      <c r="N23" s="89">
        <v>0</v>
      </c>
      <c r="O23" s="89">
        <v>420</v>
      </c>
      <c r="P23" s="89">
        <v>25</v>
      </c>
      <c r="Q23" s="89">
        <v>0</v>
      </c>
      <c r="R23" s="89" t="s">
        <v>90</v>
      </c>
      <c r="S23" s="89" t="s">
        <v>90</v>
      </c>
      <c r="T23" s="89" t="s">
        <v>90</v>
      </c>
      <c r="U23" s="90" t="s">
        <v>90</v>
      </c>
    </row>
    <row r="24" spans="1:21">
      <c r="A24" s="88">
        <v>23</v>
      </c>
      <c r="B24" s="89">
        <v>5</v>
      </c>
      <c r="C24" s="89">
        <v>14</v>
      </c>
      <c r="D24" s="89" t="s">
        <v>27</v>
      </c>
      <c r="E24" s="89">
        <v>0</v>
      </c>
      <c r="F24" s="89">
        <v>49.5</v>
      </c>
      <c r="G24" s="89">
        <v>0</v>
      </c>
      <c r="H24" s="89">
        <v>0</v>
      </c>
      <c r="I24" s="89">
        <v>100</v>
      </c>
      <c r="J24" s="89">
        <v>0</v>
      </c>
      <c r="K24" s="89">
        <v>0</v>
      </c>
      <c r="L24" s="89">
        <v>14.6</v>
      </c>
      <c r="M24" s="89">
        <v>0</v>
      </c>
      <c r="N24" s="89">
        <v>0</v>
      </c>
      <c r="O24" s="89">
        <v>520</v>
      </c>
      <c r="P24" s="89">
        <v>25</v>
      </c>
      <c r="Q24" s="89">
        <v>0</v>
      </c>
      <c r="R24" s="89" t="s">
        <v>90</v>
      </c>
      <c r="S24" s="89" t="s">
        <v>90</v>
      </c>
      <c r="T24" s="89" t="s">
        <v>90</v>
      </c>
      <c r="U24" s="90" t="s">
        <v>90</v>
      </c>
    </row>
    <row r="25" spans="1:21">
      <c r="A25" s="88">
        <v>24</v>
      </c>
      <c r="B25" s="89">
        <v>5</v>
      </c>
      <c r="C25" s="89">
        <v>31</v>
      </c>
      <c r="D25" s="89" t="s">
        <v>27</v>
      </c>
      <c r="E25" s="89">
        <v>0</v>
      </c>
      <c r="F25" s="89">
        <v>15200</v>
      </c>
      <c r="G25" s="89">
        <v>0</v>
      </c>
      <c r="H25" s="89">
        <v>0</v>
      </c>
      <c r="I25" s="89">
        <v>0.1</v>
      </c>
      <c r="J25" s="89">
        <v>0</v>
      </c>
      <c r="K25" s="89">
        <v>0</v>
      </c>
      <c r="L25" s="89">
        <v>15.772</v>
      </c>
      <c r="M25" s="89">
        <v>0.0176475</v>
      </c>
      <c r="N25" s="89">
        <v>0</v>
      </c>
      <c r="O25" s="89">
        <v>0</v>
      </c>
      <c r="P25" s="89">
        <v>80</v>
      </c>
      <c r="Q25" s="89">
        <v>0</v>
      </c>
      <c r="R25" s="89" t="s">
        <v>90</v>
      </c>
      <c r="S25" s="89" t="s">
        <v>90</v>
      </c>
      <c r="T25" s="89" t="s">
        <v>90</v>
      </c>
      <c r="U25" s="90" t="s">
        <v>90</v>
      </c>
    </row>
    <row r="26" spans="1:21">
      <c r="A26" s="88">
        <v>25</v>
      </c>
      <c r="B26" s="89">
        <v>6</v>
      </c>
      <c r="C26" s="89">
        <v>1</v>
      </c>
      <c r="D26" s="89" t="s">
        <v>27</v>
      </c>
      <c r="E26" s="89">
        <v>0</v>
      </c>
      <c r="F26" s="89">
        <v>6840</v>
      </c>
      <c r="G26" s="89">
        <v>0</v>
      </c>
      <c r="H26" s="89">
        <v>35</v>
      </c>
      <c r="I26" s="89">
        <v>3</v>
      </c>
      <c r="J26" s="89">
        <v>48</v>
      </c>
      <c r="K26" s="89">
        <v>12</v>
      </c>
      <c r="L26" s="89">
        <v>6.2</v>
      </c>
      <c r="M26" s="89">
        <v>0.0258928755364807</v>
      </c>
      <c r="N26" s="89">
        <v>100</v>
      </c>
      <c r="O26" s="89">
        <v>350</v>
      </c>
      <c r="P26" s="89">
        <v>30</v>
      </c>
      <c r="Q26" s="89">
        <v>0.76</v>
      </c>
      <c r="R26" s="89" t="s">
        <v>90</v>
      </c>
      <c r="S26" s="89" t="s">
        <v>90</v>
      </c>
      <c r="T26" s="89" t="s">
        <v>90</v>
      </c>
      <c r="U26" s="90" t="s">
        <v>90</v>
      </c>
    </row>
    <row r="27" spans="1:21">
      <c r="A27" s="88">
        <v>26</v>
      </c>
      <c r="B27" s="89">
        <v>6</v>
      </c>
      <c r="C27" s="89">
        <v>2</v>
      </c>
      <c r="D27" s="89" t="s">
        <v>27</v>
      </c>
      <c r="E27" s="89">
        <v>0</v>
      </c>
      <c r="F27" s="89">
        <v>2052</v>
      </c>
      <c r="G27" s="89">
        <v>0</v>
      </c>
      <c r="H27" s="89">
        <v>50</v>
      </c>
      <c r="I27" s="89">
        <v>1</v>
      </c>
      <c r="J27" s="89">
        <v>24</v>
      </c>
      <c r="K27" s="89">
        <v>6</v>
      </c>
      <c r="L27" s="89">
        <v>6.2</v>
      </c>
      <c r="M27" s="89">
        <v>0.029005</v>
      </c>
      <c r="N27" s="89">
        <v>30</v>
      </c>
      <c r="O27" s="89">
        <v>420</v>
      </c>
      <c r="P27" s="89">
        <v>30</v>
      </c>
      <c r="Q27" s="89">
        <v>0.85</v>
      </c>
      <c r="R27" s="89" t="s">
        <v>90</v>
      </c>
      <c r="S27" s="89" t="s">
        <v>90</v>
      </c>
      <c r="T27" s="89" t="s">
        <v>90</v>
      </c>
      <c r="U27" s="90" t="s">
        <v>90</v>
      </c>
    </row>
    <row r="28" spans="1:21">
      <c r="A28" s="88">
        <v>27</v>
      </c>
      <c r="B28" s="89">
        <v>6</v>
      </c>
      <c r="C28" s="89">
        <v>3</v>
      </c>
      <c r="D28" s="89" t="s">
        <v>27</v>
      </c>
      <c r="E28" s="89">
        <v>0</v>
      </c>
      <c r="F28" s="89">
        <v>4150</v>
      </c>
      <c r="G28" s="89">
        <v>0</v>
      </c>
      <c r="H28" s="89">
        <v>30</v>
      </c>
      <c r="I28" s="89">
        <v>7</v>
      </c>
      <c r="J28" s="89">
        <v>2</v>
      </c>
      <c r="K28" s="89">
        <v>1</v>
      </c>
      <c r="L28" s="89">
        <v>9.8</v>
      </c>
      <c r="M28" s="89">
        <v>0.052793</v>
      </c>
      <c r="N28" s="89">
        <v>80</v>
      </c>
      <c r="O28" s="89">
        <v>200</v>
      </c>
      <c r="P28" s="89">
        <v>30</v>
      </c>
      <c r="Q28" s="89">
        <v>0.31</v>
      </c>
      <c r="R28" s="89" t="s">
        <v>90</v>
      </c>
      <c r="S28" s="89" t="s">
        <v>90</v>
      </c>
      <c r="T28" s="89" t="s">
        <v>90</v>
      </c>
      <c r="U28" s="90" t="s">
        <v>90</v>
      </c>
    </row>
    <row r="29" spans="1:21">
      <c r="A29" s="88">
        <v>28</v>
      </c>
      <c r="B29" s="89">
        <v>6</v>
      </c>
      <c r="C29" s="89">
        <v>11</v>
      </c>
      <c r="D29" s="89" t="s">
        <v>27</v>
      </c>
      <c r="E29" s="89">
        <v>0</v>
      </c>
      <c r="F29" s="89">
        <v>92.5</v>
      </c>
      <c r="G29" s="89">
        <v>0</v>
      </c>
      <c r="H29" s="89">
        <v>0</v>
      </c>
      <c r="I29" s="89">
        <v>100</v>
      </c>
      <c r="J29" s="89">
        <v>0</v>
      </c>
      <c r="K29" s="89">
        <v>0</v>
      </c>
      <c r="L29" s="89">
        <v>6.65</v>
      </c>
      <c r="M29" s="89">
        <v>0</v>
      </c>
      <c r="N29" s="89">
        <v>0</v>
      </c>
      <c r="O29" s="89">
        <v>420</v>
      </c>
      <c r="P29" s="89">
        <v>25</v>
      </c>
      <c r="Q29" s="89">
        <v>0</v>
      </c>
      <c r="R29" s="89" t="s">
        <v>90</v>
      </c>
      <c r="S29" s="89" t="s">
        <v>90</v>
      </c>
      <c r="T29" s="89" t="s">
        <v>90</v>
      </c>
      <c r="U29" s="90" t="s">
        <v>90</v>
      </c>
    </row>
    <row r="30" spans="1:21">
      <c r="A30" s="88">
        <v>29</v>
      </c>
      <c r="B30" s="89">
        <v>6</v>
      </c>
      <c r="C30" s="89">
        <v>12</v>
      </c>
      <c r="D30" s="89" t="s">
        <v>27</v>
      </c>
      <c r="E30" s="89">
        <v>0</v>
      </c>
      <c r="F30" s="89">
        <v>1125.85</v>
      </c>
      <c r="G30" s="89">
        <v>0</v>
      </c>
      <c r="H30" s="89">
        <v>0</v>
      </c>
      <c r="I30" s="89">
        <v>100</v>
      </c>
      <c r="J30" s="89">
        <v>0</v>
      </c>
      <c r="K30" s="89">
        <v>0</v>
      </c>
      <c r="L30" s="89">
        <v>6.3</v>
      </c>
      <c r="M30" s="89">
        <v>0</v>
      </c>
      <c r="N30" s="89">
        <v>0</v>
      </c>
      <c r="O30" s="89">
        <v>420</v>
      </c>
      <c r="P30" s="89">
        <v>25</v>
      </c>
      <c r="Q30" s="89">
        <v>0</v>
      </c>
      <c r="R30" s="89" t="s">
        <v>90</v>
      </c>
      <c r="S30" s="89" t="s">
        <v>90</v>
      </c>
      <c r="T30" s="89" t="s">
        <v>90</v>
      </c>
      <c r="U30" s="90" t="s">
        <v>90</v>
      </c>
    </row>
    <row r="31" spans="1:21">
      <c r="A31" s="88">
        <v>30</v>
      </c>
      <c r="B31" s="89">
        <v>7</v>
      </c>
      <c r="C31" s="89">
        <v>1</v>
      </c>
      <c r="D31" s="89" t="s">
        <v>27</v>
      </c>
      <c r="E31" s="89">
        <v>0</v>
      </c>
      <c r="F31" s="89">
        <v>9168</v>
      </c>
      <c r="G31" s="89">
        <v>0</v>
      </c>
      <c r="H31" s="89">
        <v>35</v>
      </c>
      <c r="I31" s="89">
        <v>3</v>
      </c>
      <c r="J31" s="89">
        <v>48</v>
      </c>
      <c r="K31" s="89">
        <v>12</v>
      </c>
      <c r="L31" s="89">
        <v>6.2</v>
      </c>
      <c r="M31" s="89">
        <v>0.0258928755364807</v>
      </c>
      <c r="N31" s="89">
        <v>100</v>
      </c>
      <c r="O31" s="89">
        <v>350</v>
      </c>
      <c r="P31" s="89">
        <v>30</v>
      </c>
      <c r="Q31" s="89">
        <v>0.76</v>
      </c>
      <c r="R31" s="89" t="s">
        <v>90</v>
      </c>
      <c r="S31" s="89" t="s">
        <v>90</v>
      </c>
      <c r="T31" s="89" t="s">
        <v>90</v>
      </c>
      <c r="U31" s="90" t="s">
        <v>90</v>
      </c>
    </row>
    <row r="32" spans="1:21">
      <c r="A32" s="88">
        <v>31</v>
      </c>
      <c r="B32" s="89">
        <v>7</v>
      </c>
      <c r="C32" s="89">
        <v>2</v>
      </c>
      <c r="D32" s="89" t="s">
        <v>27</v>
      </c>
      <c r="E32" s="89">
        <v>0</v>
      </c>
      <c r="F32" s="89">
        <v>1167</v>
      </c>
      <c r="G32" s="89">
        <v>0</v>
      </c>
      <c r="H32" s="89">
        <v>50</v>
      </c>
      <c r="I32" s="89">
        <v>1</v>
      </c>
      <c r="J32" s="89">
        <v>24</v>
      </c>
      <c r="K32" s="89">
        <v>6</v>
      </c>
      <c r="L32" s="89">
        <v>6.2</v>
      </c>
      <c r="M32" s="89">
        <v>0.029005</v>
      </c>
      <c r="N32" s="89">
        <v>30</v>
      </c>
      <c r="O32" s="89">
        <v>420</v>
      </c>
      <c r="P32" s="89">
        <v>30</v>
      </c>
      <c r="Q32" s="89">
        <v>0.85</v>
      </c>
      <c r="R32" s="89" t="s">
        <v>90</v>
      </c>
      <c r="S32" s="89" t="s">
        <v>90</v>
      </c>
      <c r="T32" s="89" t="s">
        <v>90</v>
      </c>
      <c r="U32" s="90" t="s">
        <v>90</v>
      </c>
    </row>
    <row r="33" spans="1:21">
      <c r="A33" s="88">
        <v>32</v>
      </c>
      <c r="B33" s="89">
        <v>7</v>
      </c>
      <c r="C33" s="89">
        <v>3</v>
      </c>
      <c r="D33" s="89" t="s">
        <v>27</v>
      </c>
      <c r="E33" s="89">
        <v>0</v>
      </c>
      <c r="F33" s="89">
        <v>1860</v>
      </c>
      <c r="G33" s="89">
        <v>0</v>
      </c>
      <c r="H33" s="89">
        <v>30</v>
      </c>
      <c r="I33" s="89">
        <v>7</v>
      </c>
      <c r="J33" s="89">
        <v>2</v>
      </c>
      <c r="K33" s="89">
        <v>1</v>
      </c>
      <c r="L33" s="89">
        <v>9.8</v>
      </c>
      <c r="M33" s="89">
        <v>0.052793</v>
      </c>
      <c r="N33" s="89">
        <v>80</v>
      </c>
      <c r="O33" s="89">
        <v>200</v>
      </c>
      <c r="P33" s="89">
        <v>30</v>
      </c>
      <c r="Q33" s="89">
        <v>0.31</v>
      </c>
      <c r="R33" s="89" t="s">
        <v>90</v>
      </c>
      <c r="S33" s="89" t="s">
        <v>90</v>
      </c>
      <c r="T33" s="89" t="s">
        <v>90</v>
      </c>
      <c r="U33" s="90" t="s">
        <v>90</v>
      </c>
    </row>
    <row r="34" spans="1:21">
      <c r="A34" s="88">
        <v>33</v>
      </c>
      <c r="B34" s="89">
        <v>7</v>
      </c>
      <c r="C34" s="89">
        <v>11</v>
      </c>
      <c r="D34" s="89" t="s">
        <v>27</v>
      </c>
      <c r="E34" s="89">
        <v>0</v>
      </c>
      <c r="F34" s="89">
        <v>460.16</v>
      </c>
      <c r="G34" s="89">
        <v>0</v>
      </c>
      <c r="H34" s="89">
        <v>0</v>
      </c>
      <c r="I34" s="89">
        <v>100</v>
      </c>
      <c r="J34" s="89">
        <v>0</v>
      </c>
      <c r="K34" s="89">
        <v>0</v>
      </c>
      <c r="L34" s="89">
        <v>6.65</v>
      </c>
      <c r="M34" s="89">
        <v>0</v>
      </c>
      <c r="N34" s="89">
        <v>0</v>
      </c>
      <c r="O34" s="89">
        <v>420</v>
      </c>
      <c r="P34" s="89">
        <v>25</v>
      </c>
      <c r="Q34" s="89">
        <v>0</v>
      </c>
      <c r="R34" s="89" t="s">
        <v>90</v>
      </c>
      <c r="S34" s="89" t="s">
        <v>90</v>
      </c>
      <c r="T34" s="89" t="s">
        <v>90</v>
      </c>
      <c r="U34" s="90" t="s">
        <v>90</v>
      </c>
    </row>
    <row r="35" spans="1:21">
      <c r="A35" s="88">
        <v>34</v>
      </c>
      <c r="B35" s="89">
        <v>7</v>
      </c>
      <c r="C35" s="89">
        <v>12</v>
      </c>
      <c r="D35" s="89" t="s">
        <v>27</v>
      </c>
      <c r="E35" s="89">
        <v>0</v>
      </c>
      <c r="F35" s="89">
        <v>1194.998</v>
      </c>
      <c r="G35" s="89">
        <v>0</v>
      </c>
      <c r="H35" s="89">
        <v>0</v>
      </c>
      <c r="I35" s="89">
        <v>100</v>
      </c>
      <c r="J35" s="89">
        <v>0</v>
      </c>
      <c r="K35" s="89">
        <v>0</v>
      </c>
      <c r="L35" s="89">
        <v>6.3</v>
      </c>
      <c r="M35" s="89">
        <v>0</v>
      </c>
      <c r="N35" s="89">
        <v>0</v>
      </c>
      <c r="O35" s="89">
        <v>420</v>
      </c>
      <c r="P35" s="89">
        <v>25</v>
      </c>
      <c r="Q35" s="89">
        <v>0</v>
      </c>
      <c r="R35" s="89" t="s">
        <v>90</v>
      </c>
      <c r="S35" s="89" t="s">
        <v>90</v>
      </c>
      <c r="T35" s="89" t="s">
        <v>90</v>
      </c>
      <c r="U35" s="90" t="s">
        <v>90</v>
      </c>
    </row>
    <row r="36" spans="1:21">
      <c r="A36" s="88">
        <v>35</v>
      </c>
      <c r="B36" s="89">
        <v>7</v>
      </c>
      <c r="C36" s="89">
        <v>14</v>
      </c>
      <c r="D36" s="89" t="s">
        <v>27</v>
      </c>
      <c r="E36" s="89">
        <v>0</v>
      </c>
      <c r="F36" s="89">
        <v>1643.3</v>
      </c>
      <c r="G36" s="89">
        <v>0</v>
      </c>
      <c r="H36" s="89">
        <v>0</v>
      </c>
      <c r="I36" s="89">
        <v>100</v>
      </c>
      <c r="J36" s="89">
        <v>0</v>
      </c>
      <c r="K36" s="89">
        <v>0</v>
      </c>
      <c r="L36" s="89">
        <v>14.6</v>
      </c>
      <c r="M36" s="89">
        <v>0</v>
      </c>
      <c r="N36" s="89">
        <v>0</v>
      </c>
      <c r="O36" s="89">
        <v>520</v>
      </c>
      <c r="P36" s="89">
        <v>25</v>
      </c>
      <c r="Q36" s="89">
        <v>0</v>
      </c>
      <c r="R36" s="89" t="s">
        <v>90</v>
      </c>
      <c r="S36" s="89" t="s">
        <v>90</v>
      </c>
      <c r="T36" s="89" t="s">
        <v>90</v>
      </c>
      <c r="U36" s="90" t="s">
        <v>90</v>
      </c>
    </row>
    <row r="37" spans="1:21">
      <c r="A37" s="88">
        <v>36</v>
      </c>
      <c r="B37" s="89">
        <v>7</v>
      </c>
      <c r="C37" s="89">
        <v>15</v>
      </c>
      <c r="D37" s="89" t="s">
        <v>27</v>
      </c>
      <c r="E37" s="89">
        <v>0</v>
      </c>
      <c r="F37" s="89">
        <v>4043.6</v>
      </c>
      <c r="G37" s="89">
        <v>0</v>
      </c>
      <c r="H37" s="89">
        <v>0</v>
      </c>
      <c r="I37" s="89">
        <v>100</v>
      </c>
      <c r="J37" s="89">
        <v>0</v>
      </c>
      <c r="K37" s="89">
        <v>0</v>
      </c>
      <c r="L37" s="89">
        <v>43.45</v>
      </c>
      <c r="M37" s="89">
        <v>0</v>
      </c>
      <c r="N37" s="89">
        <v>0</v>
      </c>
      <c r="O37" s="89">
        <v>1400</v>
      </c>
      <c r="P37" s="89">
        <v>25</v>
      </c>
      <c r="Q37" s="89">
        <v>0</v>
      </c>
      <c r="R37" s="89" t="s">
        <v>90</v>
      </c>
      <c r="S37" s="89" t="s">
        <v>90</v>
      </c>
      <c r="T37" s="89" t="s">
        <v>90</v>
      </c>
      <c r="U37" s="90" t="s">
        <v>90</v>
      </c>
    </row>
    <row r="38" spans="1:21">
      <c r="A38" s="88">
        <v>37</v>
      </c>
      <c r="B38" s="89">
        <v>8</v>
      </c>
      <c r="C38" s="89">
        <v>1</v>
      </c>
      <c r="D38" s="89" t="s">
        <v>27</v>
      </c>
      <c r="E38" s="89">
        <v>0</v>
      </c>
      <c r="F38" s="89">
        <v>5780</v>
      </c>
      <c r="G38" s="89">
        <v>0</v>
      </c>
      <c r="H38" s="89">
        <v>35</v>
      </c>
      <c r="I38" s="89">
        <v>3</v>
      </c>
      <c r="J38" s="89">
        <v>48</v>
      </c>
      <c r="K38" s="89">
        <v>12</v>
      </c>
      <c r="L38" s="89">
        <v>6.2</v>
      </c>
      <c r="M38" s="89">
        <v>0.0258928755364807</v>
      </c>
      <c r="N38" s="89">
        <v>100</v>
      </c>
      <c r="O38" s="89">
        <v>350</v>
      </c>
      <c r="P38" s="89">
        <v>30</v>
      </c>
      <c r="Q38" s="89">
        <v>0.76</v>
      </c>
      <c r="R38" s="89" t="s">
        <v>90</v>
      </c>
      <c r="S38" s="89" t="s">
        <v>90</v>
      </c>
      <c r="T38" s="89" t="s">
        <v>90</v>
      </c>
      <c r="U38" s="90" t="s">
        <v>90</v>
      </c>
    </row>
    <row r="39" spans="1:21">
      <c r="A39" s="88">
        <v>38</v>
      </c>
      <c r="B39" s="89">
        <v>8</v>
      </c>
      <c r="C39" s="89">
        <v>2</v>
      </c>
      <c r="D39" s="89" t="s">
        <v>27</v>
      </c>
      <c r="E39" s="89">
        <v>0</v>
      </c>
      <c r="F39" s="89">
        <v>3098.2</v>
      </c>
      <c r="G39" s="89">
        <v>0</v>
      </c>
      <c r="H39" s="89">
        <v>50</v>
      </c>
      <c r="I39" s="89">
        <v>1</v>
      </c>
      <c r="J39" s="89">
        <v>24</v>
      </c>
      <c r="K39" s="89">
        <v>6</v>
      </c>
      <c r="L39" s="89">
        <v>6.2</v>
      </c>
      <c r="M39" s="89">
        <v>0.029005</v>
      </c>
      <c r="N39" s="89">
        <v>30</v>
      </c>
      <c r="O39" s="89">
        <v>420</v>
      </c>
      <c r="P39" s="89">
        <v>30</v>
      </c>
      <c r="Q39" s="89">
        <v>0.85</v>
      </c>
      <c r="R39" s="89" t="s">
        <v>90</v>
      </c>
      <c r="S39" s="89" t="s">
        <v>90</v>
      </c>
      <c r="T39" s="89" t="s">
        <v>90</v>
      </c>
      <c r="U39" s="90" t="s">
        <v>90</v>
      </c>
    </row>
    <row r="40" spans="1:21">
      <c r="A40" s="88">
        <v>39</v>
      </c>
      <c r="B40" s="89">
        <v>8</v>
      </c>
      <c r="C40" s="89">
        <v>3</v>
      </c>
      <c r="D40" s="89" t="s">
        <v>27</v>
      </c>
      <c r="E40" s="89">
        <v>0</v>
      </c>
      <c r="F40" s="89">
        <v>2175</v>
      </c>
      <c r="G40" s="89">
        <v>0</v>
      </c>
      <c r="H40" s="89">
        <v>30</v>
      </c>
      <c r="I40" s="89">
        <v>7</v>
      </c>
      <c r="J40" s="89">
        <v>2</v>
      </c>
      <c r="K40" s="89">
        <v>1</v>
      </c>
      <c r="L40" s="89">
        <v>9.8</v>
      </c>
      <c r="M40" s="89">
        <v>0.052793</v>
      </c>
      <c r="N40" s="89">
        <v>80</v>
      </c>
      <c r="O40" s="89">
        <v>200</v>
      </c>
      <c r="P40" s="89">
        <v>30</v>
      </c>
      <c r="Q40" s="89">
        <v>0.31</v>
      </c>
      <c r="R40" s="89" t="s">
        <v>90</v>
      </c>
      <c r="S40" s="89" t="s">
        <v>90</v>
      </c>
      <c r="T40" s="89" t="s">
        <v>90</v>
      </c>
      <c r="U40" s="90" t="s">
        <v>90</v>
      </c>
    </row>
    <row r="41" spans="1:21">
      <c r="A41" s="88">
        <v>40</v>
      </c>
      <c r="B41" s="89">
        <v>8</v>
      </c>
      <c r="C41" s="89">
        <v>12</v>
      </c>
      <c r="D41" s="89" t="s">
        <v>27</v>
      </c>
      <c r="E41" s="89">
        <v>0</v>
      </c>
      <c r="F41" s="89">
        <v>869.82</v>
      </c>
      <c r="G41" s="89">
        <v>0</v>
      </c>
      <c r="H41" s="89">
        <v>0</v>
      </c>
      <c r="I41" s="89">
        <v>100</v>
      </c>
      <c r="J41" s="89">
        <v>0</v>
      </c>
      <c r="K41" s="89">
        <v>0</v>
      </c>
      <c r="L41" s="89">
        <v>6.3</v>
      </c>
      <c r="M41" s="89">
        <v>0</v>
      </c>
      <c r="N41" s="89">
        <v>0</v>
      </c>
      <c r="O41" s="89">
        <v>420</v>
      </c>
      <c r="P41" s="89">
        <v>25</v>
      </c>
      <c r="Q41" s="89">
        <v>0</v>
      </c>
      <c r="R41" s="89" t="s">
        <v>90</v>
      </c>
      <c r="S41" s="89" t="s">
        <v>90</v>
      </c>
      <c r="T41" s="89" t="s">
        <v>90</v>
      </c>
      <c r="U41" s="90" t="s">
        <v>90</v>
      </c>
    </row>
    <row r="42" spans="1:21">
      <c r="A42" s="88">
        <v>41</v>
      </c>
      <c r="B42" s="89">
        <v>9</v>
      </c>
      <c r="C42" s="89">
        <v>2</v>
      </c>
      <c r="D42" s="89" t="s">
        <v>27</v>
      </c>
      <c r="E42" s="89">
        <v>0</v>
      </c>
      <c r="F42" s="89">
        <v>1980</v>
      </c>
      <c r="G42" s="89">
        <v>0</v>
      </c>
      <c r="H42" s="89">
        <v>50</v>
      </c>
      <c r="I42" s="89">
        <v>1</v>
      </c>
      <c r="J42" s="89">
        <v>24</v>
      </c>
      <c r="K42" s="89">
        <v>6</v>
      </c>
      <c r="L42" s="89">
        <v>6.2</v>
      </c>
      <c r="M42" s="89">
        <v>0.029005</v>
      </c>
      <c r="N42" s="89">
        <v>30</v>
      </c>
      <c r="O42" s="89">
        <v>420</v>
      </c>
      <c r="P42" s="89">
        <v>30</v>
      </c>
      <c r="Q42" s="89">
        <v>0.85</v>
      </c>
      <c r="R42" s="89" t="s">
        <v>90</v>
      </c>
      <c r="S42" s="89" t="s">
        <v>90</v>
      </c>
      <c r="T42" s="89" t="s">
        <v>90</v>
      </c>
      <c r="U42" s="90" t="s">
        <v>90</v>
      </c>
    </row>
    <row r="43" spans="1:21">
      <c r="A43" s="88">
        <v>42</v>
      </c>
      <c r="B43" s="89">
        <v>9</v>
      </c>
      <c r="C43" s="89">
        <v>3</v>
      </c>
      <c r="D43" s="89" t="s">
        <v>27</v>
      </c>
      <c r="E43" s="89">
        <v>0</v>
      </c>
      <c r="F43" s="89">
        <v>1156</v>
      </c>
      <c r="G43" s="89">
        <v>0</v>
      </c>
      <c r="H43" s="89">
        <v>30</v>
      </c>
      <c r="I43" s="89">
        <v>7</v>
      </c>
      <c r="J43" s="89">
        <v>2</v>
      </c>
      <c r="K43" s="89">
        <v>1</v>
      </c>
      <c r="L43" s="89">
        <v>9.8</v>
      </c>
      <c r="M43" s="89">
        <v>0.052793</v>
      </c>
      <c r="N43" s="89">
        <v>80</v>
      </c>
      <c r="O43" s="89">
        <v>200</v>
      </c>
      <c r="P43" s="89">
        <v>30</v>
      </c>
      <c r="Q43" s="89">
        <v>0.31</v>
      </c>
      <c r="R43" s="89" t="s">
        <v>90</v>
      </c>
      <c r="S43" s="89" t="s">
        <v>90</v>
      </c>
      <c r="T43" s="89" t="s">
        <v>90</v>
      </c>
      <c r="U43" s="90" t="s">
        <v>90</v>
      </c>
    </row>
    <row r="44" spans="1:21">
      <c r="A44" s="88">
        <v>43</v>
      </c>
      <c r="B44" s="89">
        <v>9</v>
      </c>
      <c r="C44" s="89">
        <v>12</v>
      </c>
      <c r="D44" s="89" t="s">
        <v>27</v>
      </c>
      <c r="E44" s="89">
        <v>0</v>
      </c>
      <c r="F44" s="89">
        <v>2402.75</v>
      </c>
      <c r="G44" s="89">
        <v>0</v>
      </c>
      <c r="H44" s="89">
        <v>0</v>
      </c>
      <c r="I44" s="89">
        <v>100</v>
      </c>
      <c r="J44" s="89">
        <v>0</v>
      </c>
      <c r="K44" s="89">
        <v>0</v>
      </c>
      <c r="L44" s="89">
        <v>6.3</v>
      </c>
      <c r="M44" s="89">
        <v>0</v>
      </c>
      <c r="N44" s="89">
        <v>0</v>
      </c>
      <c r="O44" s="89">
        <v>420</v>
      </c>
      <c r="P44" s="89">
        <v>25</v>
      </c>
      <c r="Q44" s="89">
        <v>0</v>
      </c>
      <c r="R44" s="89" t="s">
        <v>90</v>
      </c>
      <c r="S44" s="89" t="s">
        <v>90</v>
      </c>
      <c r="T44" s="89" t="s">
        <v>90</v>
      </c>
      <c r="U44" s="90" t="s">
        <v>90</v>
      </c>
    </row>
    <row r="45" spans="1:21">
      <c r="A45" s="88">
        <v>44</v>
      </c>
      <c r="B45" s="89">
        <v>9</v>
      </c>
      <c r="C45" s="89">
        <v>14</v>
      </c>
      <c r="D45" s="89" t="s">
        <v>27</v>
      </c>
      <c r="E45" s="89">
        <v>0</v>
      </c>
      <c r="F45" s="89">
        <v>1685</v>
      </c>
      <c r="G45" s="89">
        <v>0</v>
      </c>
      <c r="H45" s="89">
        <v>0</v>
      </c>
      <c r="I45" s="89">
        <v>100</v>
      </c>
      <c r="J45" s="89">
        <v>0</v>
      </c>
      <c r="K45" s="89">
        <v>0</v>
      </c>
      <c r="L45" s="89">
        <v>14.6</v>
      </c>
      <c r="M45" s="89">
        <v>0</v>
      </c>
      <c r="N45" s="89">
        <v>0</v>
      </c>
      <c r="O45" s="89">
        <v>520</v>
      </c>
      <c r="P45" s="89">
        <v>25</v>
      </c>
      <c r="Q45" s="89">
        <v>0</v>
      </c>
      <c r="R45" s="89" t="s">
        <v>90</v>
      </c>
      <c r="S45" s="89" t="s">
        <v>90</v>
      </c>
      <c r="T45" s="89" t="s">
        <v>90</v>
      </c>
      <c r="U45" s="90" t="s">
        <v>90</v>
      </c>
    </row>
    <row r="46" spans="1:21">
      <c r="A46" s="88">
        <v>45</v>
      </c>
      <c r="B46" s="89">
        <v>9</v>
      </c>
      <c r="C46" s="89">
        <v>31</v>
      </c>
      <c r="D46" s="89" t="s">
        <v>27</v>
      </c>
      <c r="E46" s="89">
        <v>0</v>
      </c>
      <c r="F46" s="89">
        <v>8000</v>
      </c>
      <c r="G46" s="89">
        <v>0</v>
      </c>
      <c r="H46" s="89">
        <v>0</v>
      </c>
      <c r="I46" s="89">
        <v>0.1</v>
      </c>
      <c r="J46" s="89">
        <v>0</v>
      </c>
      <c r="K46" s="89">
        <v>0</v>
      </c>
      <c r="L46" s="89">
        <v>15.772</v>
      </c>
      <c r="M46" s="89">
        <v>0.0176475</v>
      </c>
      <c r="N46" s="89">
        <v>0</v>
      </c>
      <c r="O46" s="89">
        <v>0</v>
      </c>
      <c r="P46" s="89">
        <v>80</v>
      </c>
      <c r="Q46" s="89">
        <v>0</v>
      </c>
      <c r="R46" s="89" t="s">
        <v>90</v>
      </c>
      <c r="S46" s="89" t="s">
        <v>90</v>
      </c>
      <c r="T46" s="89" t="s">
        <v>90</v>
      </c>
      <c r="U46" s="90" t="s">
        <v>90</v>
      </c>
    </row>
    <row r="47" spans="1:21">
      <c r="A47" s="88">
        <v>46</v>
      </c>
      <c r="B47" s="89">
        <v>10</v>
      </c>
      <c r="C47" s="89">
        <v>1</v>
      </c>
      <c r="D47" s="89" t="s">
        <v>27</v>
      </c>
      <c r="E47" s="89">
        <v>0</v>
      </c>
      <c r="F47" s="89">
        <v>6000</v>
      </c>
      <c r="G47" s="89">
        <v>0</v>
      </c>
      <c r="H47" s="89">
        <v>35</v>
      </c>
      <c r="I47" s="89">
        <v>3</v>
      </c>
      <c r="J47" s="89">
        <v>48</v>
      </c>
      <c r="K47" s="89">
        <v>12</v>
      </c>
      <c r="L47" s="89">
        <v>6.2</v>
      </c>
      <c r="M47" s="89">
        <v>0.0258928755364807</v>
      </c>
      <c r="N47" s="89">
        <v>100</v>
      </c>
      <c r="O47" s="89">
        <v>350</v>
      </c>
      <c r="P47" s="89">
        <v>30</v>
      </c>
      <c r="Q47" s="89">
        <v>0.76</v>
      </c>
      <c r="R47" s="89" t="s">
        <v>90</v>
      </c>
      <c r="S47" s="89" t="s">
        <v>90</v>
      </c>
      <c r="T47" s="89" t="s">
        <v>90</v>
      </c>
      <c r="U47" s="90" t="s">
        <v>90</v>
      </c>
    </row>
    <row r="48" spans="1:21">
      <c r="A48" s="88">
        <v>47</v>
      </c>
      <c r="B48" s="89">
        <v>10</v>
      </c>
      <c r="C48" s="89">
        <v>3</v>
      </c>
      <c r="D48" s="89" t="s">
        <v>27</v>
      </c>
      <c r="E48" s="89">
        <v>0</v>
      </c>
      <c r="F48" s="89">
        <v>1976</v>
      </c>
      <c r="G48" s="89">
        <v>0</v>
      </c>
      <c r="H48" s="89">
        <v>30</v>
      </c>
      <c r="I48" s="89">
        <v>7</v>
      </c>
      <c r="J48" s="89">
        <v>2</v>
      </c>
      <c r="K48" s="89">
        <v>1</v>
      </c>
      <c r="L48" s="89">
        <v>9.8</v>
      </c>
      <c r="M48" s="89">
        <v>0.052793</v>
      </c>
      <c r="N48" s="89">
        <v>80</v>
      </c>
      <c r="O48" s="89">
        <v>200</v>
      </c>
      <c r="P48" s="89">
        <v>30</v>
      </c>
      <c r="Q48" s="89">
        <v>0.31</v>
      </c>
      <c r="R48" s="89" t="s">
        <v>90</v>
      </c>
      <c r="S48" s="89" t="s">
        <v>90</v>
      </c>
      <c r="T48" s="89" t="s">
        <v>90</v>
      </c>
      <c r="U48" s="90" t="s">
        <v>90</v>
      </c>
    </row>
    <row r="49" spans="1:21">
      <c r="A49" s="88">
        <v>48</v>
      </c>
      <c r="B49" s="89">
        <v>10</v>
      </c>
      <c r="C49" s="89">
        <v>12</v>
      </c>
      <c r="D49" s="89" t="s">
        <v>27</v>
      </c>
      <c r="E49" s="89">
        <v>0</v>
      </c>
      <c r="F49" s="89">
        <v>641.338</v>
      </c>
      <c r="G49" s="89">
        <v>0</v>
      </c>
      <c r="H49" s="89">
        <v>0</v>
      </c>
      <c r="I49" s="89">
        <v>100</v>
      </c>
      <c r="J49" s="89">
        <v>0</v>
      </c>
      <c r="K49" s="89">
        <v>0</v>
      </c>
      <c r="L49" s="89">
        <v>6.3</v>
      </c>
      <c r="M49" s="89">
        <v>0</v>
      </c>
      <c r="N49" s="89">
        <v>0</v>
      </c>
      <c r="O49" s="89">
        <v>420</v>
      </c>
      <c r="P49" s="89">
        <v>25</v>
      </c>
      <c r="Q49" s="89">
        <v>0</v>
      </c>
      <c r="R49" s="89" t="s">
        <v>90</v>
      </c>
      <c r="S49" s="89" t="s">
        <v>90</v>
      </c>
      <c r="T49" s="89" t="s">
        <v>90</v>
      </c>
      <c r="U49" s="90" t="s">
        <v>90</v>
      </c>
    </row>
    <row r="50" spans="1:21">
      <c r="A50" s="88">
        <v>49</v>
      </c>
      <c r="B50" s="89">
        <v>10</v>
      </c>
      <c r="C50" s="89">
        <v>31</v>
      </c>
      <c r="D50" s="89" t="s">
        <v>27</v>
      </c>
      <c r="E50" s="89">
        <v>0</v>
      </c>
      <c r="F50" s="89">
        <v>3000</v>
      </c>
      <c r="G50" s="89">
        <v>0</v>
      </c>
      <c r="H50" s="89">
        <v>0</v>
      </c>
      <c r="I50" s="89">
        <v>0.1</v>
      </c>
      <c r="J50" s="89">
        <v>0</v>
      </c>
      <c r="K50" s="89">
        <v>0</v>
      </c>
      <c r="L50" s="89">
        <v>15.772</v>
      </c>
      <c r="M50" s="89">
        <v>0.0176475</v>
      </c>
      <c r="N50" s="89">
        <v>0</v>
      </c>
      <c r="O50" s="89">
        <v>0</v>
      </c>
      <c r="P50" s="89">
        <v>80</v>
      </c>
      <c r="Q50" s="89">
        <v>0</v>
      </c>
      <c r="R50" s="89" t="s">
        <v>90</v>
      </c>
      <c r="S50" s="89" t="s">
        <v>90</v>
      </c>
      <c r="T50" s="89" t="s">
        <v>90</v>
      </c>
      <c r="U50" s="90" t="s">
        <v>90</v>
      </c>
    </row>
    <row r="51" spans="1:21">
      <c r="A51" s="88">
        <v>50</v>
      </c>
      <c r="B51" s="89">
        <v>11</v>
      </c>
      <c r="C51" s="89">
        <v>1</v>
      </c>
      <c r="D51" s="89" t="s">
        <v>27</v>
      </c>
      <c r="E51" s="89">
        <v>0</v>
      </c>
      <c r="F51" s="89">
        <v>3200</v>
      </c>
      <c r="G51" s="89">
        <v>0</v>
      </c>
      <c r="H51" s="89">
        <v>35</v>
      </c>
      <c r="I51" s="89">
        <v>3</v>
      </c>
      <c r="J51" s="89">
        <v>48</v>
      </c>
      <c r="K51" s="89">
        <v>12</v>
      </c>
      <c r="L51" s="89">
        <v>6.2</v>
      </c>
      <c r="M51" s="89">
        <v>0.0258928755364807</v>
      </c>
      <c r="N51" s="89">
        <v>100</v>
      </c>
      <c r="O51" s="89">
        <v>350</v>
      </c>
      <c r="P51" s="89">
        <v>30</v>
      </c>
      <c r="Q51" s="89">
        <v>0.76</v>
      </c>
      <c r="R51" s="89" t="s">
        <v>90</v>
      </c>
      <c r="S51" s="89" t="s">
        <v>90</v>
      </c>
      <c r="T51" s="89" t="s">
        <v>90</v>
      </c>
      <c r="U51" s="90" t="s">
        <v>90</v>
      </c>
    </row>
    <row r="52" spans="1:21">
      <c r="A52" s="88">
        <v>51</v>
      </c>
      <c r="B52" s="89">
        <v>11</v>
      </c>
      <c r="C52" s="89">
        <v>2</v>
      </c>
      <c r="D52" s="89" t="s">
        <v>27</v>
      </c>
      <c r="E52" s="89">
        <v>0</v>
      </c>
      <c r="F52" s="89">
        <v>6313</v>
      </c>
      <c r="G52" s="89">
        <v>0</v>
      </c>
      <c r="H52" s="89">
        <v>50</v>
      </c>
      <c r="I52" s="89">
        <v>1</v>
      </c>
      <c r="J52" s="89">
        <v>24</v>
      </c>
      <c r="K52" s="89">
        <v>6</v>
      </c>
      <c r="L52" s="89">
        <v>6.2</v>
      </c>
      <c r="M52" s="89">
        <v>0.029005</v>
      </c>
      <c r="N52" s="89">
        <v>30</v>
      </c>
      <c r="O52" s="89">
        <v>420</v>
      </c>
      <c r="P52" s="89">
        <v>30</v>
      </c>
      <c r="Q52" s="89">
        <v>0.85</v>
      </c>
      <c r="R52" s="89" t="s">
        <v>90</v>
      </c>
      <c r="S52" s="89" t="s">
        <v>90</v>
      </c>
      <c r="T52" s="89" t="s">
        <v>90</v>
      </c>
      <c r="U52" s="90" t="s">
        <v>90</v>
      </c>
    </row>
    <row r="53" spans="1:21">
      <c r="A53" s="88">
        <v>52</v>
      </c>
      <c r="B53" s="89">
        <v>11</v>
      </c>
      <c r="C53" s="89">
        <v>12</v>
      </c>
      <c r="D53" s="89" t="s">
        <v>27</v>
      </c>
      <c r="E53" s="89">
        <v>0</v>
      </c>
      <c r="F53" s="89">
        <v>891.73</v>
      </c>
      <c r="G53" s="89">
        <v>0</v>
      </c>
      <c r="H53" s="89">
        <v>0</v>
      </c>
      <c r="I53" s="89">
        <v>100</v>
      </c>
      <c r="J53" s="89">
        <v>0</v>
      </c>
      <c r="K53" s="89">
        <v>0</v>
      </c>
      <c r="L53" s="89">
        <v>6.3</v>
      </c>
      <c r="M53" s="89">
        <v>0</v>
      </c>
      <c r="N53" s="89">
        <v>0</v>
      </c>
      <c r="O53" s="89">
        <v>420</v>
      </c>
      <c r="P53" s="89">
        <v>25</v>
      </c>
      <c r="Q53" s="89">
        <v>0</v>
      </c>
      <c r="R53" s="89" t="s">
        <v>90</v>
      </c>
      <c r="S53" s="89" t="s">
        <v>90</v>
      </c>
      <c r="T53" s="89" t="s">
        <v>90</v>
      </c>
      <c r="U53" s="90" t="s">
        <v>90</v>
      </c>
    </row>
    <row r="54" spans="1:21">
      <c r="A54" s="88">
        <v>53</v>
      </c>
      <c r="B54" s="89">
        <v>12</v>
      </c>
      <c r="C54" s="89">
        <v>1</v>
      </c>
      <c r="D54" s="89" t="s">
        <v>27</v>
      </c>
      <c r="E54" s="89">
        <v>0</v>
      </c>
      <c r="F54" s="89">
        <v>4792</v>
      </c>
      <c r="G54" s="89">
        <v>0</v>
      </c>
      <c r="H54" s="89">
        <v>35</v>
      </c>
      <c r="I54" s="89">
        <v>3</v>
      </c>
      <c r="J54" s="89">
        <v>48</v>
      </c>
      <c r="K54" s="89">
        <v>12</v>
      </c>
      <c r="L54" s="89">
        <v>6.2</v>
      </c>
      <c r="M54" s="89">
        <v>0.0258928755364807</v>
      </c>
      <c r="N54" s="89">
        <v>100</v>
      </c>
      <c r="O54" s="89">
        <v>350</v>
      </c>
      <c r="P54" s="89">
        <v>30</v>
      </c>
      <c r="Q54" s="89">
        <v>0.76</v>
      </c>
      <c r="R54" s="89" t="s">
        <v>90</v>
      </c>
      <c r="S54" s="89" t="s">
        <v>90</v>
      </c>
      <c r="T54" s="89" t="s">
        <v>90</v>
      </c>
      <c r="U54" s="90" t="s">
        <v>90</v>
      </c>
    </row>
    <row r="55" spans="1:21">
      <c r="A55" s="88">
        <v>54</v>
      </c>
      <c r="B55" s="89">
        <v>12</v>
      </c>
      <c r="C55" s="89">
        <v>2</v>
      </c>
      <c r="D55" s="89" t="s">
        <v>27</v>
      </c>
      <c r="E55" s="89">
        <v>0</v>
      </c>
      <c r="F55" s="89">
        <v>414</v>
      </c>
      <c r="G55" s="89">
        <v>0</v>
      </c>
      <c r="H55" s="89">
        <v>50</v>
      </c>
      <c r="I55" s="89">
        <v>1</v>
      </c>
      <c r="J55" s="89">
        <v>24</v>
      </c>
      <c r="K55" s="89">
        <v>6</v>
      </c>
      <c r="L55" s="89">
        <v>6.2</v>
      </c>
      <c r="M55" s="89">
        <v>0.029005</v>
      </c>
      <c r="N55" s="89">
        <v>30</v>
      </c>
      <c r="O55" s="89">
        <v>420</v>
      </c>
      <c r="P55" s="89">
        <v>30</v>
      </c>
      <c r="Q55" s="89">
        <v>0.85</v>
      </c>
      <c r="R55" s="89" t="s">
        <v>90</v>
      </c>
      <c r="S55" s="89" t="s">
        <v>90</v>
      </c>
      <c r="T55" s="89" t="s">
        <v>90</v>
      </c>
      <c r="U55" s="90" t="s">
        <v>90</v>
      </c>
    </row>
    <row r="56" spans="1:21">
      <c r="A56" s="88">
        <v>55</v>
      </c>
      <c r="B56" s="89">
        <v>12</v>
      </c>
      <c r="C56" s="89">
        <v>11</v>
      </c>
      <c r="D56" s="89" t="s">
        <v>27</v>
      </c>
      <c r="E56" s="89">
        <v>0</v>
      </c>
      <c r="F56" s="89">
        <v>240.24</v>
      </c>
      <c r="G56" s="89">
        <v>0</v>
      </c>
      <c r="H56" s="89">
        <v>0</v>
      </c>
      <c r="I56" s="89">
        <v>100</v>
      </c>
      <c r="J56" s="89">
        <v>0</v>
      </c>
      <c r="K56" s="89">
        <v>0</v>
      </c>
      <c r="L56" s="89">
        <v>6.65</v>
      </c>
      <c r="M56" s="89">
        <v>0</v>
      </c>
      <c r="N56" s="89">
        <v>0</v>
      </c>
      <c r="O56" s="89">
        <v>420</v>
      </c>
      <c r="P56" s="89">
        <v>25</v>
      </c>
      <c r="Q56" s="89">
        <v>0</v>
      </c>
      <c r="R56" s="89" t="s">
        <v>90</v>
      </c>
      <c r="S56" s="89" t="s">
        <v>90</v>
      </c>
      <c r="T56" s="89" t="s">
        <v>90</v>
      </c>
      <c r="U56" s="90" t="s">
        <v>90</v>
      </c>
    </row>
    <row r="57" spans="1:21">
      <c r="A57" s="88">
        <v>56</v>
      </c>
      <c r="B57" s="89">
        <v>12</v>
      </c>
      <c r="C57" s="89">
        <v>12</v>
      </c>
      <c r="D57" s="89" t="s">
        <v>27</v>
      </c>
      <c r="E57" s="89">
        <v>0</v>
      </c>
      <c r="F57" s="89">
        <v>1283.472</v>
      </c>
      <c r="G57" s="89">
        <v>0</v>
      </c>
      <c r="H57" s="89">
        <v>0</v>
      </c>
      <c r="I57" s="89">
        <v>100</v>
      </c>
      <c r="J57" s="89">
        <v>0</v>
      </c>
      <c r="K57" s="89">
        <v>0</v>
      </c>
      <c r="L57" s="89">
        <v>6.3</v>
      </c>
      <c r="M57" s="89">
        <v>0</v>
      </c>
      <c r="N57" s="89">
        <v>0</v>
      </c>
      <c r="O57" s="89">
        <v>420</v>
      </c>
      <c r="P57" s="89">
        <v>25</v>
      </c>
      <c r="Q57" s="89">
        <v>0</v>
      </c>
      <c r="R57" s="89" t="s">
        <v>90</v>
      </c>
      <c r="S57" s="89" t="s">
        <v>90</v>
      </c>
      <c r="T57" s="89" t="s">
        <v>90</v>
      </c>
      <c r="U57" s="90" t="s">
        <v>90</v>
      </c>
    </row>
    <row r="58" spans="1:21">
      <c r="A58" s="88">
        <v>57</v>
      </c>
      <c r="B58" s="89">
        <v>12</v>
      </c>
      <c r="C58" s="89">
        <v>14</v>
      </c>
      <c r="D58" s="89" t="s">
        <v>27</v>
      </c>
      <c r="E58" s="89">
        <v>0</v>
      </c>
      <c r="F58" s="89">
        <v>210.3</v>
      </c>
      <c r="G58" s="89">
        <v>0</v>
      </c>
      <c r="H58" s="89">
        <v>0</v>
      </c>
      <c r="I58" s="89">
        <v>100</v>
      </c>
      <c r="J58" s="89">
        <v>0</v>
      </c>
      <c r="K58" s="89">
        <v>0</v>
      </c>
      <c r="L58" s="89">
        <v>14.6</v>
      </c>
      <c r="M58" s="89">
        <v>0</v>
      </c>
      <c r="N58" s="89">
        <v>0</v>
      </c>
      <c r="O58" s="89">
        <v>520</v>
      </c>
      <c r="P58" s="89">
        <v>25</v>
      </c>
      <c r="Q58" s="89">
        <v>0</v>
      </c>
      <c r="R58" s="89" t="s">
        <v>90</v>
      </c>
      <c r="S58" s="89" t="s">
        <v>90</v>
      </c>
      <c r="T58" s="89" t="s">
        <v>90</v>
      </c>
      <c r="U58" s="90" t="s">
        <v>90</v>
      </c>
    </row>
    <row r="59" spans="1:21">
      <c r="A59" s="88">
        <v>58</v>
      </c>
      <c r="B59" s="89">
        <v>12</v>
      </c>
      <c r="C59" s="89">
        <v>15</v>
      </c>
      <c r="D59" s="89" t="s">
        <v>27</v>
      </c>
      <c r="E59" s="89">
        <v>0</v>
      </c>
      <c r="F59" s="89">
        <v>1340.4</v>
      </c>
      <c r="G59" s="89">
        <v>0</v>
      </c>
      <c r="H59" s="89">
        <v>0</v>
      </c>
      <c r="I59" s="89">
        <v>100</v>
      </c>
      <c r="J59" s="89">
        <v>0</v>
      </c>
      <c r="K59" s="89">
        <v>0</v>
      </c>
      <c r="L59" s="89">
        <v>43.45</v>
      </c>
      <c r="M59" s="89">
        <v>0</v>
      </c>
      <c r="N59" s="89">
        <v>0</v>
      </c>
      <c r="O59" s="89">
        <v>1400</v>
      </c>
      <c r="P59" s="89">
        <v>25</v>
      </c>
      <c r="Q59" s="89">
        <v>0</v>
      </c>
      <c r="R59" s="89" t="s">
        <v>90</v>
      </c>
      <c r="S59" s="89" t="s">
        <v>90</v>
      </c>
      <c r="T59" s="89" t="s">
        <v>90</v>
      </c>
      <c r="U59" s="90" t="s">
        <v>90</v>
      </c>
    </row>
    <row r="60" spans="1:21">
      <c r="A60" s="88">
        <v>59</v>
      </c>
      <c r="B60" s="89">
        <v>13</v>
      </c>
      <c r="C60" s="89">
        <v>2</v>
      </c>
      <c r="D60" s="89" t="s">
        <v>27</v>
      </c>
      <c r="E60" s="89">
        <v>0</v>
      </c>
      <c r="F60" s="89">
        <v>831</v>
      </c>
      <c r="G60" s="89">
        <v>0</v>
      </c>
      <c r="H60" s="89">
        <v>50</v>
      </c>
      <c r="I60" s="89">
        <v>1</v>
      </c>
      <c r="J60" s="89">
        <v>24</v>
      </c>
      <c r="K60" s="89">
        <v>6</v>
      </c>
      <c r="L60" s="89">
        <v>6.2</v>
      </c>
      <c r="M60" s="89">
        <v>0.029005</v>
      </c>
      <c r="N60" s="89">
        <v>30</v>
      </c>
      <c r="O60" s="89">
        <v>420</v>
      </c>
      <c r="P60" s="89">
        <v>30</v>
      </c>
      <c r="Q60" s="89">
        <v>0.85</v>
      </c>
      <c r="R60" s="89" t="s">
        <v>90</v>
      </c>
      <c r="S60" s="89" t="s">
        <v>90</v>
      </c>
      <c r="T60" s="89" t="s">
        <v>90</v>
      </c>
      <c r="U60" s="90" t="s">
        <v>90</v>
      </c>
    </row>
    <row r="61" spans="1:21">
      <c r="A61" s="88">
        <v>60</v>
      </c>
      <c r="B61" s="89">
        <v>13</v>
      </c>
      <c r="C61" s="89">
        <v>3</v>
      </c>
      <c r="D61" s="89" t="s">
        <v>27</v>
      </c>
      <c r="E61" s="89">
        <v>0</v>
      </c>
      <c r="F61" s="89">
        <v>518</v>
      </c>
      <c r="G61" s="89">
        <v>0</v>
      </c>
      <c r="H61" s="89">
        <v>30</v>
      </c>
      <c r="I61" s="89">
        <v>7</v>
      </c>
      <c r="J61" s="89">
        <v>2</v>
      </c>
      <c r="K61" s="89">
        <v>1</v>
      </c>
      <c r="L61" s="89">
        <v>9.8</v>
      </c>
      <c r="M61" s="89">
        <v>0.052793</v>
      </c>
      <c r="N61" s="89">
        <v>80</v>
      </c>
      <c r="O61" s="89">
        <v>200</v>
      </c>
      <c r="P61" s="89">
        <v>30</v>
      </c>
      <c r="Q61" s="89">
        <v>0.31</v>
      </c>
      <c r="R61" s="89" t="s">
        <v>90</v>
      </c>
      <c r="S61" s="89" t="s">
        <v>90</v>
      </c>
      <c r="T61" s="89" t="s">
        <v>90</v>
      </c>
      <c r="U61" s="90" t="s">
        <v>90</v>
      </c>
    </row>
    <row r="62" spans="1:21">
      <c r="A62" s="88">
        <v>61</v>
      </c>
      <c r="B62" s="89">
        <v>13</v>
      </c>
      <c r="C62" s="89">
        <v>5</v>
      </c>
      <c r="D62" s="89" t="s">
        <v>27</v>
      </c>
      <c r="E62" s="89">
        <v>0</v>
      </c>
      <c r="F62" s="89">
        <v>6672</v>
      </c>
      <c r="G62" s="89">
        <v>0</v>
      </c>
      <c r="H62" s="89">
        <v>70</v>
      </c>
      <c r="I62" s="89">
        <v>0</v>
      </c>
      <c r="J62" s="89">
        <v>48</v>
      </c>
      <c r="K62" s="89">
        <v>12</v>
      </c>
      <c r="L62" s="89">
        <v>55.64</v>
      </c>
      <c r="M62" s="89">
        <v>0.004784</v>
      </c>
      <c r="N62" s="89">
        <v>120</v>
      </c>
      <c r="O62" s="89">
        <v>1750</v>
      </c>
      <c r="P62" s="89">
        <v>60</v>
      </c>
      <c r="Q62" s="89">
        <v>0</v>
      </c>
      <c r="R62" s="89" t="s">
        <v>90</v>
      </c>
      <c r="S62" s="89" t="s">
        <v>90</v>
      </c>
      <c r="T62" s="89" t="s">
        <v>90</v>
      </c>
      <c r="U62" s="90" t="s">
        <v>90</v>
      </c>
    </row>
    <row r="63" spans="1:21">
      <c r="A63" s="88">
        <v>62</v>
      </c>
      <c r="B63" s="89">
        <v>13</v>
      </c>
      <c r="C63" s="89">
        <v>11</v>
      </c>
      <c r="D63" s="89" t="s">
        <v>27</v>
      </c>
      <c r="E63" s="89">
        <v>0</v>
      </c>
      <c r="F63" s="89">
        <v>592</v>
      </c>
      <c r="G63" s="89">
        <v>0</v>
      </c>
      <c r="H63" s="89">
        <v>0</v>
      </c>
      <c r="I63" s="89">
        <v>100</v>
      </c>
      <c r="J63" s="89">
        <v>0</v>
      </c>
      <c r="K63" s="89">
        <v>0</v>
      </c>
      <c r="L63" s="89">
        <v>6.65</v>
      </c>
      <c r="M63" s="89">
        <v>0</v>
      </c>
      <c r="N63" s="89">
        <v>0</v>
      </c>
      <c r="O63" s="89">
        <v>420</v>
      </c>
      <c r="P63" s="89">
        <v>25</v>
      </c>
      <c r="Q63" s="89">
        <v>0</v>
      </c>
      <c r="R63" s="89" t="s">
        <v>90</v>
      </c>
      <c r="S63" s="89" t="s">
        <v>90</v>
      </c>
      <c r="T63" s="89" t="s">
        <v>90</v>
      </c>
      <c r="U63" s="90" t="s">
        <v>90</v>
      </c>
    </row>
    <row r="64" spans="1:21">
      <c r="A64" s="88">
        <v>63</v>
      </c>
      <c r="B64" s="89">
        <v>13</v>
      </c>
      <c r="C64" s="89">
        <v>12</v>
      </c>
      <c r="D64" s="89" t="s">
        <v>27</v>
      </c>
      <c r="E64" s="89">
        <v>0</v>
      </c>
      <c r="F64" s="89">
        <v>1499.27</v>
      </c>
      <c r="G64" s="89">
        <v>0</v>
      </c>
      <c r="H64" s="89">
        <v>0</v>
      </c>
      <c r="I64" s="89">
        <v>100</v>
      </c>
      <c r="J64" s="89">
        <v>0</v>
      </c>
      <c r="K64" s="89">
        <v>0</v>
      </c>
      <c r="L64" s="89">
        <v>6.3</v>
      </c>
      <c r="M64" s="89">
        <v>0</v>
      </c>
      <c r="N64" s="89">
        <v>0</v>
      </c>
      <c r="O64" s="89">
        <v>420</v>
      </c>
      <c r="P64" s="89">
        <v>25</v>
      </c>
      <c r="Q64" s="89">
        <v>0</v>
      </c>
      <c r="R64" s="89" t="s">
        <v>90</v>
      </c>
      <c r="S64" s="89" t="s">
        <v>90</v>
      </c>
      <c r="T64" s="89" t="s">
        <v>90</v>
      </c>
      <c r="U64" s="90" t="s">
        <v>90</v>
      </c>
    </row>
    <row r="65" spans="1:21">
      <c r="A65" s="88">
        <v>64</v>
      </c>
      <c r="B65" s="89">
        <v>13</v>
      </c>
      <c r="C65" s="89">
        <v>14</v>
      </c>
      <c r="D65" s="89" t="s">
        <v>27</v>
      </c>
      <c r="E65" s="89">
        <v>0</v>
      </c>
      <c r="F65" s="89">
        <v>788.6</v>
      </c>
      <c r="G65" s="89">
        <v>0</v>
      </c>
      <c r="H65" s="89">
        <v>0</v>
      </c>
      <c r="I65" s="89">
        <v>100</v>
      </c>
      <c r="J65" s="89">
        <v>0</v>
      </c>
      <c r="K65" s="89">
        <v>0</v>
      </c>
      <c r="L65" s="89">
        <v>14.6</v>
      </c>
      <c r="M65" s="89">
        <v>0</v>
      </c>
      <c r="N65" s="89">
        <v>0</v>
      </c>
      <c r="O65" s="89">
        <v>520</v>
      </c>
      <c r="P65" s="89">
        <v>25</v>
      </c>
      <c r="Q65" s="89">
        <v>0</v>
      </c>
      <c r="R65" s="89" t="s">
        <v>90</v>
      </c>
      <c r="S65" s="89" t="s">
        <v>90</v>
      </c>
      <c r="T65" s="89" t="s">
        <v>90</v>
      </c>
      <c r="U65" s="90" t="s">
        <v>90</v>
      </c>
    </row>
    <row r="66" spans="1:21">
      <c r="A66" s="88">
        <v>65</v>
      </c>
      <c r="B66" s="89">
        <v>14</v>
      </c>
      <c r="C66" s="89">
        <v>1</v>
      </c>
      <c r="D66" s="89" t="s">
        <v>27</v>
      </c>
      <c r="E66" s="89">
        <v>0</v>
      </c>
      <c r="F66" s="89">
        <v>12740</v>
      </c>
      <c r="G66" s="89">
        <v>0</v>
      </c>
      <c r="H66" s="89">
        <v>35</v>
      </c>
      <c r="I66" s="89">
        <v>3</v>
      </c>
      <c r="J66" s="89">
        <v>48</v>
      </c>
      <c r="K66" s="89">
        <v>12</v>
      </c>
      <c r="L66" s="89">
        <v>6.2</v>
      </c>
      <c r="M66" s="89">
        <v>0.0258928755364807</v>
      </c>
      <c r="N66" s="89">
        <v>100</v>
      </c>
      <c r="O66" s="89">
        <v>350</v>
      </c>
      <c r="P66" s="89">
        <v>30</v>
      </c>
      <c r="Q66" s="89">
        <v>0.76</v>
      </c>
      <c r="R66" s="89" t="s">
        <v>90</v>
      </c>
      <c r="S66" s="89" t="s">
        <v>90</v>
      </c>
      <c r="T66" s="89" t="s">
        <v>90</v>
      </c>
      <c r="U66" s="90" t="s">
        <v>90</v>
      </c>
    </row>
    <row r="67" spans="1:21">
      <c r="A67" s="88">
        <v>66</v>
      </c>
      <c r="B67" s="89">
        <v>14</v>
      </c>
      <c r="C67" s="89">
        <v>2</v>
      </c>
      <c r="D67" s="89" t="s">
        <v>27</v>
      </c>
      <c r="E67" s="89">
        <v>0</v>
      </c>
      <c r="F67" s="89">
        <v>50</v>
      </c>
      <c r="G67" s="89">
        <v>0</v>
      </c>
      <c r="H67" s="89">
        <v>50</v>
      </c>
      <c r="I67" s="89">
        <v>1</v>
      </c>
      <c r="J67" s="89">
        <v>24</v>
      </c>
      <c r="K67" s="89">
        <v>6</v>
      </c>
      <c r="L67" s="89">
        <v>6.2</v>
      </c>
      <c r="M67" s="89">
        <v>0.029005</v>
      </c>
      <c r="N67" s="89">
        <v>30</v>
      </c>
      <c r="O67" s="89">
        <v>420</v>
      </c>
      <c r="P67" s="89">
        <v>30</v>
      </c>
      <c r="Q67" s="89">
        <v>0.85</v>
      </c>
      <c r="R67" s="89" t="s">
        <v>90</v>
      </c>
      <c r="S67" s="89" t="s">
        <v>90</v>
      </c>
      <c r="T67" s="89" t="s">
        <v>90</v>
      </c>
      <c r="U67" s="90" t="s">
        <v>90</v>
      </c>
    </row>
    <row r="68" spans="1:21">
      <c r="A68" s="88">
        <v>67</v>
      </c>
      <c r="B68" s="89">
        <v>14</v>
      </c>
      <c r="C68" s="89">
        <v>3</v>
      </c>
      <c r="D68" s="89" t="s">
        <v>27</v>
      </c>
      <c r="E68" s="89">
        <v>0</v>
      </c>
      <c r="F68" s="89">
        <v>240</v>
      </c>
      <c r="G68" s="89">
        <v>0</v>
      </c>
      <c r="H68" s="89">
        <v>30</v>
      </c>
      <c r="I68" s="89">
        <v>7</v>
      </c>
      <c r="J68" s="89">
        <v>2</v>
      </c>
      <c r="K68" s="89">
        <v>1</v>
      </c>
      <c r="L68" s="89">
        <v>9.8</v>
      </c>
      <c r="M68" s="89">
        <v>0.052793</v>
      </c>
      <c r="N68" s="89">
        <v>80</v>
      </c>
      <c r="O68" s="89">
        <v>200</v>
      </c>
      <c r="P68" s="89">
        <v>30</v>
      </c>
      <c r="Q68" s="89">
        <v>0.31</v>
      </c>
      <c r="R68" s="89" t="s">
        <v>90</v>
      </c>
      <c r="S68" s="89" t="s">
        <v>90</v>
      </c>
      <c r="T68" s="89" t="s">
        <v>90</v>
      </c>
      <c r="U68" s="90" t="s">
        <v>90</v>
      </c>
    </row>
    <row r="69" spans="1:21">
      <c r="A69" s="88">
        <v>68</v>
      </c>
      <c r="B69" s="89">
        <v>14</v>
      </c>
      <c r="C69" s="89">
        <v>11</v>
      </c>
      <c r="D69" s="89" t="s">
        <v>27</v>
      </c>
      <c r="E69" s="89">
        <v>0</v>
      </c>
      <c r="F69" s="89">
        <v>44</v>
      </c>
      <c r="G69" s="89">
        <v>0</v>
      </c>
      <c r="H69" s="89">
        <v>0</v>
      </c>
      <c r="I69" s="89">
        <v>100</v>
      </c>
      <c r="J69" s="89">
        <v>0</v>
      </c>
      <c r="K69" s="89">
        <v>0</v>
      </c>
      <c r="L69" s="89">
        <v>6.65</v>
      </c>
      <c r="M69" s="89">
        <v>0</v>
      </c>
      <c r="N69" s="89">
        <v>0</v>
      </c>
      <c r="O69" s="89">
        <v>420</v>
      </c>
      <c r="P69" s="89">
        <v>25</v>
      </c>
      <c r="Q69" s="89">
        <v>0</v>
      </c>
      <c r="R69" s="89" t="s">
        <v>90</v>
      </c>
      <c r="S69" s="89" t="s">
        <v>90</v>
      </c>
      <c r="T69" s="89" t="s">
        <v>90</v>
      </c>
      <c r="U69" s="90" t="s">
        <v>90</v>
      </c>
    </row>
    <row r="70" spans="1:21">
      <c r="A70" s="88">
        <v>69</v>
      </c>
      <c r="B70" s="89">
        <v>14</v>
      </c>
      <c r="C70" s="89">
        <v>12</v>
      </c>
      <c r="D70" s="89" t="s">
        <v>27</v>
      </c>
      <c r="E70" s="89">
        <v>0</v>
      </c>
      <c r="F70" s="89">
        <v>1672.61</v>
      </c>
      <c r="G70" s="89">
        <v>0</v>
      </c>
      <c r="H70" s="89">
        <v>0</v>
      </c>
      <c r="I70" s="89">
        <v>100</v>
      </c>
      <c r="J70" s="89">
        <v>0</v>
      </c>
      <c r="K70" s="89">
        <v>0</v>
      </c>
      <c r="L70" s="89">
        <v>6.3</v>
      </c>
      <c r="M70" s="89">
        <v>0</v>
      </c>
      <c r="N70" s="89">
        <v>0</v>
      </c>
      <c r="O70" s="89">
        <v>420</v>
      </c>
      <c r="P70" s="89">
        <v>25</v>
      </c>
      <c r="Q70" s="89">
        <v>0</v>
      </c>
      <c r="R70" s="89" t="s">
        <v>90</v>
      </c>
      <c r="S70" s="89" t="s">
        <v>90</v>
      </c>
      <c r="T70" s="89" t="s">
        <v>90</v>
      </c>
      <c r="U70" s="90" t="s">
        <v>90</v>
      </c>
    </row>
    <row r="71" spans="1:21">
      <c r="A71" s="88">
        <v>70</v>
      </c>
      <c r="B71" s="89">
        <v>14</v>
      </c>
      <c r="C71" s="89">
        <v>14</v>
      </c>
      <c r="D71" s="89" t="s">
        <v>27</v>
      </c>
      <c r="E71" s="89">
        <v>0</v>
      </c>
      <c r="F71" s="89">
        <v>3070.8</v>
      </c>
      <c r="G71" s="89">
        <v>0</v>
      </c>
      <c r="H71" s="89">
        <v>0</v>
      </c>
      <c r="I71" s="89">
        <v>100</v>
      </c>
      <c r="J71" s="89">
        <v>0</v>
      </c>
      <c r="K71" s="89">
        <v>0</v>
      </c>
      <c r="L71" s="89">
        <v>14.6</v>
      </c>
      <c r="M71" s="89">
        <v>0</v>
      </c>
      <c r="N71" s="89">
        <v>0</v>
      </c>
      <c r="O71" s="89">
        <v>520</v>
      </c>
      <c r="P71" s="89">
        <v>25</v>
      </c>
      <c r="Q71" s="89">
        <v>0</v>
      </c>
      <c r="R71" s="89" t="s">
        <v>90</v>
      </c>
      <c r="S71" s="89" t="s">
        <v>90</v>
      </c>
      <c r="T71" s="89" t="s">
        <v>90</v>
      </c>
      <c r="U71" s="90" t="s">
        <v>90</v>
      </c>
    </row>
    <row r="72" spans="1:21">
      <c r="A72" s="88">
        <v>71</v>
      </c>
      <c r="B72" s="89">
        <v>14</v>
      </c>
      <c r="C72" s="89">
        <v>15</v>
      </c>
      <c r="D72" s="89" t="s">
        <v>27</v>
      </c>
      <c r="E72" s="89">
        <v>0</v>
      </c>
      <c r="F72" s="89">
        <v>3889</v>
      </c>
      <c r="G72" s="89">
        <v>0</v>
      </c>
      <c r="H72" s="89">
        <v>0</v>
      </c>
      <c r="I72" s="89">
        <v>100</v>
      </c>
      <c r="J72" s="89">
        <v>0</v>
      </c>
      <c r="K72" s="89">
        <v>0</v>
      </c>
      <c r="L72" s="89">
        <v>43.45</v>
      </c>
      <c r="M72" s="89">
        <v>0</v>
      </c>
      <c r="N72" s="89">
        <v>0</v>
      </c>
      <c r="O72" s="89">
        <v>1400</v>
      </c>
      <c r="P72" s="89">
        <v>25</v>
      </c>
      <c r="Q72" s="89">
        <v>0</v>
      </c>
      <c r="R72" s="89" t="s">
        <v>90</v>
      </c>
      <c r="S72" s="89" t="s">
        <v>90</v>
      </c>
      <c r="T72" s="89" t="s">
        <v>90</v>
      </c>
      <c r="U72" s="90" t="s">
        <v>90</v>
      </c>
    </row>
    <row r="73" spans="1:21">
      <c r="A73" s="88">
        <v>72</v>
      </c>
      <c r="B73" s="89">
        <v>15</v>
      </c>
      <c r="C73" s="89">
        <v>1</v>
      </c>
      <c r="D73" s="89" t="s">
        <v>27</v>
      </c>
      <c r="E73" s="89">
        <v>0</v>
      </c>
      <c r="F73" s="89">
        <v>4450</v>
      </c>
      <c r="G73" s="89">
        <v>0</v>
      </c>
      <c r="H73" s="89">
        <v>35</v>
      </c>
      <c r="I73" s="89">
        <v>3</v>
      </c>
      <c r="J73" s="89">
        <v>48</v>
      </c>
      <c r="K73" s="89">
        <v>12</v>
      </c>
      <c r="L73" s="89">
        <v>6.2</v>
      </c>
      <c r="M73" s="89">
        <v>0.0258928755364807</v>
      </c>
      <c r="N73" s="89">
        <v>100</v>
      </c>
      <c r="O73" s="89">
        <v>350</v>
      </c>
      <c r="P73" s="89">
        <v>30</v>
      </c>
      <c r="Q73" s="89">
        <v>0.76</v>
      </c>
      <c r="R73" s="89" t="s">
        <v>90</v>
      </c>
      <c r="S73" s="89" t="s">
        <v>90</v>
      </c>
      <c r="T73" s="89" t="s">
        <v>90</v>
      </c>
      <c r="U73" s="90" t="s">
        <v>90</v>
      </c>
    </row>
    <row r="74" spans="1:21">
      <c r="A74" s="88">
        <v>73</v>
      </c>
      <c r="B74" s="89">
        <v>15</v>
      </c>
      <c r="C74" s="89">
        <v>2</v>
      </c>
      <c r="D74" s="89" t="s">
        <v>27</v>
      </c>
      <c r="E74" s="89">
        <v>0</v>
      </c>
      <c r="F74" s="89">
        <v>820</v>
      </c>
      <c r="G74" s="89">
        <v>0</v>
      </c>
      <c r="H74" s="89">
        <v>50</v>
      </c>
      <c r="I74" s="89">
        <v>1</v>
      </c>
      <c r="J74" s="89">
        <v>24</v>
      </c>
      <c r="K74" s="89">
        <v>6</v>
      </c>
      <c r="L74" s="89">
        <v>6.2</v>
      </c>
      <c r="M74" s="89">
        <v>0.029005</v>
      </c>
      <c r="N74" s="89">
        <v>30</v>
      </c>
      <c r="O74" s="89">
        <v>420</v>
      </c>
      <c r="P74" s="89">
        <v>30</v>
      </c>
      <c r="Q74" s="89">
        <v>0.85</v>
      </c>
      <c r="R74" s="89" t="s">
        <v>90</v>
      </c>
      <c r="S74" s="89" t="s">
        <v>90</v>
      </c>
      <c r="T74" s="89" t="s">
        <v>90</v>
      </c>
      <c r="U74" s="90" t="s">
        <v>90</v>
      </c>
    </row>
    <row r="75" spans="1:21">
      <c r="A75" s="88">
        <v>74</v>
      </c>
      <c r="B75" s="89">
        <v>15</v>
      </c>
      <c r="C75" s="89">
        <v>3</v>
      </c>
      <c r="D75" s="89" t="s">
        <v>27</v>
      </c>
      <c r="E75" s="89">
        <v>0</v>
      </c>
      <c r="F75" s="89">
        <v>2180</v>
      </c>
      <c r="G75" s="89">
        <v>0</v>
      </c>
      <c r="H75" s="89">
        <v>30</v>
      </c>
      <c r="I75" s="89">
        <v>7</v>
      </c>
      <c r="J75" s="89">
        <v>2</v>
      </c>
      <c r="K75" s="89">
        <v>1</v>
      </c>
      <c r="L75" s="89">
        <v>9.8</v>
      </c>
      <c r="M75" s="89">
        <v>0.052793</v>
      </c>
      <c r="N75" s="89">
        <v>80</v>
      </c>
      <c r="O75" s="89">
        <v>200</v>
      </c>
      <c r="P75" s="89">
        <v>30</v>
      </c>
      <c r="Q75" s="89">
        <v>0.31</v>
      </c>
      <c r="R75" s="89" t="s">
        <v>90</v>
      </c>
      <c r="S75" s="89" t="s">
        <v>90</v>
      </c>
      <c r="T75" s="89" t="s">
        <v>90</v>
      </c>
      <c r="U75" s="90" t="s">
        <v>90</v>
      </c>
    </row>
    <row r="76" spans="1:21">
      <c r="A76" s="88">
        <v>75</v>
      </c>
      <c r="B76" s="89">
        <v>15</v>
      </c>
      <c r="C76" s="89">
        <v>11</v>
      </c>
      <c r="D76" s="89" t="s">
        <v>27</v>
      </c>
      <c r="E76" s="89">
        <v>0</v>
      </c>
      <c r="F76" s="89">
        <v>579.75</v>
      </c>
      <c r="G76" s="89">
        <v>0</v>
      </c>
      <c r="H76" s="89">
        <v>0</v>
      </c>
      <c r="I76" s="89">
        <v>100</v>
      </c>
      <c r="J76" s="89">
        <v>0</v>
      </c>
      <c r="K76" s="89">
        <v>0</v>
      </c>
      <c r="L76" s="89">
        <v>6.65</v>
      </c>
      <c r="M76" s="89">
        <v>0</v>
      </c>
      <c r="N76" s="89">
        <v>0</v>
      </c>
      <c r="O76" s="89">
        <v>420</v>
      </c>
      <c r="P76" s="89">
        <v>25</v>
      </c>
      <c r="Q76" s="89">
        <v>0</v>
      </c>
      <c r="R76" s="89" t="s">
        <v>90</v>
      </c>
      <c r="S76" s="89" t="s">
        <v>90</v>
      </c>
      <c r="T76" s="89" t="s">
        <v>90</v>
      </c>
      <c r="U76" s="90" t="s">
        <v>90</v>
      </c>
    </row>
    <row r="77" spans="1:21">
      <c r="A77" s="88">
        <v>76</v>
      </c>
      <c r="B77" s="89">
        <v>15</v>
      </c>
      <c r="C77" s="89">
        <v>12</v>
      </c>
      <c r="D77" s="89" t="s">
        <v>27</v>
      </c>
      <c r="E77" s="89">
        <v>0</v>
      </c>
      <c r="F77" s="89">
        <v>2584.32</v>
      </c>
      <c r="G77" s="89">
        <v>0</v>
      </c>
      <c r="H77" s="89">
        <v>0</v>
      </c>
      <c r="I77" s="89">
        <v>100</v>
      </c>
      <c r="J77" s="89">
        <v>0</v>
      </c>
      <c r="K77" s="89">
        <v>0</v>
      </c>
      <c r="L77" s="89">
        <v>6.3</v>
      </c>
      <c r="M77" s="89">
        <v>0</v>
      </c>
      <c r="N77" s="89">
        <v>0</v>
      </c>
      <c r="O77" s="89">
        <v>420</v>
      </c>
      <c r="P77" s="89">
        <v>25</v>
      </c>
      <c r="Q77" s="89">
        <v>0</v>
      </c>
      <c r="R77" s="89" t="s">
        <v>90</v>
      </c>
      <c r="S77" s="89" t="s">
        <v>90</v>
      </c>
      <c r="T77" s="89" t="s">
        <v>90</v>
      </c>
      <c r="U77" s="90" t="s">
        <v>90</v>
      </c>
    </row>
    <row r="78" spans="1:21">
      <c r="A78" s="88">
        <v>77</v>
      </c>
      <c r="B78" s="89">
        <v>15</v>
      </c>
      <c r="C78" s="89">
        <v>14</v>
      </c>
      <c r="D78" s="89" t="s">
        <v>27</v>
      </c>
      <c r="E78" s="89">
        <v>0</v>
      </c>
      <c r="F78" s="89">
        <v>462.5</v>
      </c>
      <c r="G78" s="89">
        <v>0</v>
      </c>
      <c r="H78" s="89">
        <v>0</v>
      </c>
      <c r="I78" s="89">
        <v>100</v>
      </c>
      <c r="J78" s="89">
        <v>0</v>
      </c>
      <c r="K78" s="89">
        <v>0</v>
      </c>
      <c r="L78" s="89">
        <v>14.6</v>
      </c>
      <c r="M78" s="89">
        <v>0</v>
      </c>
      <c r="N78" s="89">
        <v>0</v>
      </c>
      <c r="O78" s="89">
        <v>520</v>
      </c>
      <c r="P78" s="89">
        <v>25</v>
      </c>
      <c r="Q78" s="89">
        <v>0</v>
      </c>
      <c r="R78" s="89" t="s">
        <v>90</v>
      </c>
      <c r="S78" s="89" t="s">
        <v>90</v>
      </c>
      <c r="T78" s="89" t="s">
        <v>90</v>
      </c>
      <c r="U78" s="90" t="s">
        <v>90</v>
      </c>
    </row>
    <row r="79" spans="1:21">
      <c r="A79" s="88">
        <v>78</v>
      </c>
      <c r="B79" s="89">
        <v>15</v>
      </c>
      <c r="C79" s="89">
        <v>31</v>
      </c>
      <c r="D79" s="89" t="s">
        <v>27</v>
      </c>
      <c r="E79" s="89">
        <v>0</v>
      </c>
      <c r="F79" s="89">
        <v>10000</v>
      </c>
      <c r="G79" s="89">
        <v>0</v>
      </c>
      <c r="H79" s="89">
        <v>0</v>
      </c>
      <c r="I79" s="89">
        <v>0.1</v>
      </c>
      <c r="J79" s="89">
        <v>0</v>
      </c>
      <c r="K79" s="89">
        <v>0</v>
      </c>
      <c r="L79" s="89">
        <v>15.772</v>
      </c>
      <c r="M79" s="89">
        <v>0.0176475</v>
      </c>
      <c r="N79" s="89">
        <v>0</v>
      </c>
      <c r="O79" s="89">
        <v>0</v>
      </c>
      <c r="P79" s="89">
        <v>80</v>
      </c>
      <c r="Q79" s="89">
        <v>0</v>
      </c>
      <c r="R79" s="89" t="s">
        <v>90</v>
      </c>
      <c r="S79" s="89" t="s">
        <v>90</v>
      </c>
      <c r="T79" s="89" t="s">
        <v>90</v>
      </c>
      <c r="U79" s="90" t="s">
        <v>90</v>
      </c>
    </row>
    <row r="80" spans="1:21">
      <c r="A80" s="88">
        <v>79</v>
      </c>
      <c r="B80" s="89">
        <v>16</v>
      </c>
      <c r="C80" s="89">
        <v>1</v>
      </c>
      <c r="D80" s="89" t="s">
        <v>27</v>
      </c>
      <c r="E80" s="89">
        <v>0</v>
      </c>
      <c r="F80" s="89">
        <v>4520</v>
      </c>
      <c r="G80" s="89">
        <v>0</v>
      </c>
      <c r="H80" s="89">
        <v>35</v>
      </c>
      <c r="I80" s="89">
        <v>3</v>
      </c>
      <c r="J80" s="89">
        <v>48</v>
      </c>
      <c r="K80" s="89">
        <v>12</v>
      </c>
      <c r="L80" s="89">
        <v>6.2</v>
      </c>
      <c r="M80" s="89">
        <v>0.0258928755364807</v>
      </c>
      <c r="N80" s="89">
        <v>100</v>
      </c>
      <c r="O80" s="89">
        <v>350</v>
      </c>
      <c r="P80" s="89">
        <v>30</v>
      </c>
      <c r="Q80" s="89">
        <v>0.76</v>
      </c>
      <c r="R80" s="89" t="s">
        <v>90</v>
      </c>
      <c r="S80" s="89" t="s">
        <v>90</v>
      </c>
      <c r="T80" s="89" t="s">
        <v>90</v>
      </c>
      <c r="U80" s="90" t="s">
        <v>90</v>
      </c>
    </row>
    <row r="81" spans="1:21">
      <c r="A81" s="88">
        <v>80</v>
      </c>
      <c r="B81" s="89">
        <v>16</v>
      </c>
      <c r="C81" s="89">
        <v>2</v>
      </c>
      <c r="D81" s="89" t="s">
        <v>27</v>
      </c>
      <c r="E81" s="89">
        <v>0</v>
      </c>
      <c r="F81" s="89">
        <v>1745.5</v>
      </c>
      <c r="G81" s="89">
        <v>0</v>
      </c>
      <c r="H81" s="89">
        <v>50</v>
      </c>
      <c r="I81" s="89">
        <v>1</v>
      </c>
      <c r="J81" s="89">
        <v>24</v>
      </c>
      <c r="K81" s="89">
        <v>6</v>
      </c>
      <c r="L81" s="89">
        <v>6.2</v>
      </c>
      <c r="M81" s="89">
        <v>0.029005</v>
      </c>
      <c r="N81" s="89">
        <v>30</v>
      </c>
      <c r="O81" s="89">
        <v>420</v>
      </c>
      <c r="P81" s="89">
        <v>30</v>
      </c>
      <c r="Q81" s="89">
        <v>0.85</v>
      </c>
      <c r="R81" s="89" t="s">
        <v>90</v>
      </c>
      <c r="S81" s="89" t="s">
        <v>90</v>
      </c>
      <c r="T81" s="89" t="s">
        <v>90</v>
      </c>
      <c r="U81" s="90" t="s">
        <v>90</v>
      </c>
    </row>
    <row r="82" spans="1:21">
      <c r="A82" s="88">
        <v>81</v>
      </c>
      <c r="B82" s="89">
        <v>16</v>
      </c>
      <c r="C82" s="89">
        <v>11</v>
      </c>
      <c r="D82" s="89" t="s">
        <v>27</v>
      </c>
      <c r="E82" s="89">
        <v>0</v>
      </c>
      <c r="F82" s="89">
        <v>1561.5</v>
      </c>
      <c r="G82" s="89">
        <v>0</v>
      </c>
      <c r="H82" s="89">
        <v>0</v>
      </c>
      <c r="I82" s="89">
        <v>100</v>
      </c>
      <c r="J82" s="89">
        <v>0</v>
      </c>
      <c r="K82" s="89">
        <v>0</v>
      </c>
      <c r="L82" s="89">
        <v>6.65</v>
      </c>
      <c r="M82" s="89">
        <v>0</v>
      </c>
      <c r="N82" s="89">
        <v>0</v>
      </c>
      <c r="O82" s="89">
        <v>420</v>
      </c>
      <c r="P82" s="89">
        <v>25</v>
      </c>
      <c r="Q82" s="89">
        <v>0</v>
      </c>
      <c r="R82" s="89" t="s">
        <v>90</v>
      </c>
      <c r="S82" s="89" t="s">
        <v>90</v>
      </c>
      <c r="T82" s="89" t="s">
        <v>90</v>
      </c>
      <c r="U82" s="90" t="s">
        <v>90</v>
      </c>
    </row>
    <row r="83" spans="1:21">
      <c r="A83" s="88">
        <v>82</v>
      </c>
      <c r="B83" s="89">
        <v>16</v>
      </c>
      <c r="C83" s="89">
        <v>12</v>
      </c>
      <c r="D83" s="89" t="s">
        <v>27</v>
      </c>
      <c r="E83" s="89">
        <v>0</v>
      </c>
      <c r="F83" s="89">
        <v>2296.12</v>
      </c>
      <c r="G83" s="89">
        <v>0</v>
      </c>
      <c r="H83" s="89">
        <v>0</v>
      </c>
      <c r="I83" s="89">
        <v>100</v>
      </c>
      <c r="J83" s="89">
        <v>0</v>
      </c>
      <c r="K83" s="89">
        <v>0</v>
      </c>
      <c r="L83" s="89">
        <v>6.3</v>
      </c>
      <c r="M83" s="89">
        <v>0</v>
      </c>
      <c r="N83" s="89">
        <v>0</v>
      </c>
      <c r="O83" s="89">
        <v>420</v>
      </c>
      <c r="P83" s="89">
        <v>25</v>
      </c>
      <c r="Q83" s="89">
        <v>0</v>
      </c>
      <c r="R83" s="89" t="s">
        <v>90</v>
      </c>
      <c r="S83" s="89" t="s">
        <v>90</v>
      </c>
      <c r="T83" s="89" t="s">
        <v>90</v>
      </c>
      <c r="U83" s="90" t="s">
        <v>90</v>
      </c>
    </row>
    <row r="84" spans="1:21">
      <c r="A84" s="88">
        <v>83</v>
      </c>
      <c r="B84" s="89">
        <v>16</v>
      </c>
      <c r="C84" s="89">
        <v>14</v>
      </c>
      <c r="D84" s="89" t="s">
        <v>27</v>
      </c>
      <c r="E84" s="89">
        <v>0</v>
      </c>
      <c r="F84" s="89">
        <v>458.1</v>
      </c>
      <c r="G84" s="89">
        <v>0</v>
      </c>
      <c r="H84" s="89">
        <v>0</v>
      </c>
      <c r="I84" s="89">
        <v>100</v>
      </c>
      <c r="J84" s="89">
        <v>0</v>
      </c>
      <c r="K84" s="89">
        <v>0</v>
      </c>
      <c r="L84" s="89">
        <v>14.6</v>
      </c>
      <c r="M84" s="89">
        <v>0</v>
      </c>
      <c r="N84" s="89">
        <v>0</v>
      </c>
      <c r="O84" s="89">
        <v>520</v>
      </c>
      <c r="P84" s="89">
        <v>25</v>
      </c>
      <c r="Q84" s="89">
        <v>0</v>
      </c>
      <c r="R84" s="89" t="s">
        <v>90</v>
      </c>
      <c r="S84" s="89" t="s">
        <v>90</v>
      </c>
      <c r="T84" s="89" t="s">
        <v>90</v>
      </c>
      <c r="U84" s="90" t="s">
        <v>90</v>
      </c>
    </row>
    <row r="85" spans="1:21">
      <c r="A85" s="88">
        <v>84</v>
      </c>
      <c r="B85" s="89">
        <v>17</v>
      </c>
      <c r="C85" s="89">
        <v>1</v>
      </c>
      <c r="D85" s="89" t="s">
        <v>27</v>
      </c>
      <c r="E85" s="89">
        <v>0</v>
      </c>
      <c r="F85" s="89">
        <v>2260</v>
      </c>
      <c r="G85" s="89">
        <v>0</v>
      </c>
      <c r="H85" s="89">
        <v>35</v>
      </c>
      <c r="I85" s="89">
        <v>3</v>
      </c>
      <c r="J85" s="89">
        <v>48</v>
      </c>
      <c r="K85" s="89">
        <v>12</v>
      </c>
      <c r="L85" s="89">
        <v>6.2</v>
      </c>
      <c r="M85" s="89">
        <v>0.0258928755364807</v>
      </c>
      <c r="N85" s="89">
        <v>100</v>
      </c>
      <c r="O85" s="89">
        <v>350</v>
      </c>
      <c r="P85" s="89">
        <v>30</v>
      </c>
      <c r="Q85" s="89">
        <v>0.76</v>
      </c>
      <c r="R85" s="89" t="s">
        <v>90</v>
      </c>
      <c r="S85" s="89" t="s">
        <v>90</v>
      </c>
      <c r="T85" s="89" t="s">
        <v>90</v>
      </c>
      <c r="U85" s="90" t="s">
        <v>90</v>
      </c>
    </row>
    <row r="86" spans="1:21">
      <c r="A86" s="88">
        <v>85</v>
      </c>
      <c r="B86" s="89">
        <v>17</v>
      </c>
      <c r="C86" s="89">
        <v>3</v>
      </c>
      <c r="D86" s="89" t="s">
        <v>27</v>
      </c>
      <c r="E86" s="89">
        <v>0</v>
      </c>
      <c r="F86" s="89">
        <v>1832</v>
      </c>
      <c r="G86" s="89">
        <v>0</v>
      </c>
      <c r="H86" s="89">
        <v>30</v>
      </c>
      <c r="I86" s="89">
        <v>7</v>
      </c>
      <c r="J86" s="89">
        <v>2</v>
      </c>
      <c r="K86" s="89">
        <v>1</v>
      </c>
      <c r="L86" s="89">
        <v>9.8</v>
      </c>
      <c r="M86" s="89">
        <v>0.052793</v>
      </c>
      <c r="N86" s="89">
        <v>80</v>
      </c>
      <c r="O86" s="89">
        <v>200</v>
      </c>
      <c r="P86" s="89">
        <v>30</v>
      </c>
      <c r="Q86" s="89">
        <v>0.31</v>
      </c>
      <c r="R86" s="89" t="s">
        <v>90</v>
      </c>
      <c r="S86" s="89" t="s">
        <v>90</v>
      </c>
      <c r="T86" s="89" t="s">
        <v>90</v>
      </c>
      <c r="U86" s="90" t="s">
        <v>90</v>
      </c>
    </row>
    <row r="87" spans="1:21">
      <c r="A87" s="88">
        <v>86</v>
      </c>
      <c r="B87" s="89">
        <v>17</v>
      </c>
      <c r="C87" s="89">
        <v>12</v>
      </c>
      <c r="D87" s="89" t="s">
        <v>27</v>
      </c>
      <c r="E87" s="89">
        <v>0</v>
      </c>
      <c r="F87" s="89">
        <v>773.56</v>
      </c>
      <c r="G87" s="89">
        <v>0</v>
      </c>
      <c r="H87" s="89">
        <v>0</v>
      </c>
      <c r="I87" s="89">
        <v>100</v>
      </c>
      <c r="J87" s="89">
        <v>0</v>
      </c>
      <c r="K87" s="89">
        <v>0</v>
      </c>
      <c r="L87" s="89">
        <v>6.3</v>
      </c>
      <c r="M87" s="89">
        <v>0</v>
      </c>
      <c r="N87" s="89">
        <v>0</v>
      </c>
      <c r="O87" s="89">
        <v>420</v>
      </c>
      <c r="P87" s="89">
        <v>25</v>
      </c>
      <c r="Q87" s="89">
        <v>0</v>
      </c>
      <c r="R87" s="89" t="s">
        <v>90</v>
      </c>
      <c r="S87" s="89" t="s">
        <v>90</v>
      </c>
      <c r="T87" s="89" t="s">
        <v>90</v>
      </c>
      <c r="U87" s="90" t="s">
        <v>90</v>
      </c>
    </row>
    <row r="88" spans="1:21">
      <c r="A88" s="88">
        <v>87</v>
      </c>
      <c r="B88" s="89">
        <v>18</v>
      </c>
      <c r="C88" s="89">
        <v>1</v>
      </c>
      <c r="D88" s="89" t="s">
        <v>41</v>
      </c>
      <c r="E88" s="89">
        <v>0</v>
      </c>
      <c r="F88" s="89">
        <v>2640</v>
      </c>
      <c r="G88" s="89">
        <v>0</v>
      </c>
      <c r="H88" s="89">
        <v>35</v>
      </c>
      <c r="I88" s="89">
        <v>3</v>
      </c>
      <c r="J88" s="89">
        <v>48</v>
      </c>
      <c r="K88" s="89">
        <v>12</v>
      </c>
      <c r="L88" s="89">
        <v>6.2</v>
      </c>
      <c r="M88" s="89">
        <v>0.0272970987124464</v>
      </c>
      <c r="N88" s="89">
        <v>100</v>
      </c>
      <c r="O88" s="89">
        <v>350</v>
      </c>
      <c r="P88" s="89">
        <v>30</v>
      </c>
      <c r="Q88" s="89">
        <v>0.76</v>
      </c>
      <c r="R88" s="89" t="s">
        <v>90</v>
      </c>
      <c r="S88" s="89" t="s">
        <v>90</v>
      </c>
      <c r="T88" s="89" t="s">
        <v>90</v>
      </c>
      <c r="U88" s="90" t="s">
        <v>90</v>
      </c>
    </row>
    <row r="89" spans="1:21">
      <c r="A89" s="88">
        <v>88</v>
      </c>
      <c r="B89" s="89">
        <v>18</v>
      </c>
      <c r="C89" s="89">
        <v>2</v>
      </c>
      <c r="D89" s="89" t="s">
        <v>41</v>
      </c>
      <c r="E89" s="89">
        <v>0</v>
      </c>
      <c r="F89" s="89">
        <v>60</v>
      </c>
      <c r="G89" s="89">
        <v>0</v>
      </c>
      <c r="H89" s="89">
        <v>50</v>
      </c>
      <c r="I89" s="89">
        <v>1</v>
      </c>
      <c r="J89" s="89">
        <v>24</v>
      </c>
      <c r="K89" s="89">
        <v>6</v>
      </c>
      <c r="L89" s="89">
        <v>6.2</v>
      </c>
      <c r="M89" s="89">
        <v>0.030578</v>
      </c>
      <c r="N89" s="89">
        <v>30</v>
      </c>
      <c r="O89" s="89">
        <v>420</v>
      </c>
      <c r="P89" s="89">
        <v>30</v>
      </c>
      <c r="Q89" s="89">
        <v>0.85</v>
      </c>
      <c r="R89" s="89" t="s">
        <v>90</v>
      </c>
      <c r="S89" s="89" t="s">
        <v>90</v>
      </c>
      <c r="T89" s="89" t="s">
        <v>90</v>
      </c>
      <c r="U89" s="90" t="s">
        <v>90</v>
      </c>
    </row>
    <row r="90" spans="1:21">
      <c r="A90" s="88">
        <v>89</v>
      </c>
      <c r="B90" s="89">
        <v>18</v>
      </c>
      <c r="C90" s="89">
        <v>3</v>
      </c>
      <c r="D90" s="89" t="s">
        <v>41</v>
      </c>
      <c r="E90" s="89">
        <v>0</v>
      </c>
      <c r="F90" s="89">
        <v>2130</v>
      </c>
      <c r="G90" s="89">
        <v>0</v>
      </c>
      <c r="H90" s="89">
        <v>30</v>
      </c>
      <c r="I90" s="89">
        <v>7</v>
      </c>
      <c r="J90" s="89">
        <v>2</v>
      </c>
      <c r="K90" s="89">
        <v>1</v>
      </c>
      <c r="L90" s="89">
        <v>9.8</v>
      </c>
      <c r="M90" s="89">
        <v>0.053048</v>
      </c>
      <c r="N90" s="89">
        <v>80</v>
      </c>
      <c r="O90" s="89">
        <v>200</v>
      </c>
      <c r="P90" s="89">
        <v>30</v>
      </c>
      <c r="Q90" s="89">
        <v>0.31</v>
      </c>
      <c r="R90" s="89" t="s">
        <v>90</v>
      </c>
      <c r="S90" s="89" t="s">
        <v>90</v>
      </c>
      <c r="T90" s="89" t="s">
        <v>90</v>
      </c>
      <c r="U90" s="90" t="s">
        <v>90</v>
      </c>
    </row>
    <row r="91" spans="1:21">
      <c r="A91" s="88">
        <v>90</v>
      </c>
      <c r="B91" s="89">
        <v>18</v>
      </c>
      <c r="C91" s="89">
        <v>4</v>
      </c>
      <c r="D91" s="89" t="s">
        <v>41</v>
      </c>
      <c r="E91" s="89">
        <v>0</v>
      </c>
      <c r="F91" s="89">
        <v>322.5</v>
      </c>
      <c r="G91" s="89">
        <v>0</v>
      </c>
      <c r="H91" s="89">
        <v>0</v>
      </c>
      <c r="I91" s="89">
        <v>100</v>
      </c>
      <c r="J91" s="89">
        <v>0</v>
      </c>
      <c r="K91" s="89">
        <v>0</v>
      </c>
      <c r="L91" s="89">
        <v>25.93</v>
      </c>
      <c r="M91" s="89">
        <v>0</v>
      </c>
      <c r="N91" s="89">
        <v>0</v>
      </c>
      <c r="O91" s="89">
        <v>1400</v>
      </c>
      <c r="P91" s="89">
        <v>80</v>
      </c>
      <c r="Q91" s="89">
        <v>0</v>
      </c>
      <c r="R91" s="89" t="s">
        <v>90</v>
      </c>
      <c r="S91" s="89" t="s">
        <v>90</v>
      </c>
      <c r="T91" s="89" t="s">
        <v>90</v>
      </c>
      <c r="U91" s="90" t="s">
        <v>90</v>
      </c>
    </row>
    <row r="92" spans="1:21">
      <c r="A92" s="88">
        <v>91</v>
      </c>
      <c r="B92" s="89">
        <v>18</v>
      </c>
      <c r="C92" s="89">
        <v>12</v>
      </c>
      <c r="D92" s="89" t="s">
        <v>41</v>
      </c>
      <c r="E92" s="89">
        <v>0</v>
      </c>
      <c r="F92" s="89">
        <v>1330.54</v>
      </c>
      <c r="G92" s="89">
        <v>0</v>
      </c>
      <c r="H92" s="89">
        <v>0</v>
      </c>
      <c r="I92" s="89">
        <v>100</v>
      </c>
      <c r="J92" s="89">
        <v>0</v>
      </c>
      <c r="K92" s="89">
        <v>0</v>
      </c>
      <c r="L92" s="89">
        <v>6.3</v>
      </c>
      <c r="M92" s="89">
        <v>0</v>
      </c>
      <c r="N92" s="89">
        <v>0</v>
      </c>
      <c r="O92" s="89">
        <v>420</v>
      </c>
      <c r="P92" s="89">
        <v>25</v>
      </c>
      <c r="Q92" s="89">
        <v>0</v>
      </c>
      <c r="R92" s="89" t="s">
        <v>90</v>
      </c>
      <c r="S92" s="89" t="s">
        <v>90</v>
      </c>
      <c r="T92" s="89" t="s">
        <v>90</v>
      </c>
      <c r="U92" s="90" t="s">
        <v>90</v>
      </c>
    </row>
    <row r="93" spans="1:21">
      <c r="A93" s="88">
        <v>92</v>
      </c>
      <c r="B93" s="89">
        <v>18</v>
      </c>
      <c r="C93" s="89">
        <v>31</v>
      </c>
      <c r="D93" s="89" t="s">
        <v>41</v>
      </c>
      <c r="E93" s="89">
        <v>0</v>
      </c>
      <c r="F93" s="89">
        <v>8000</v>
      </c>
      <c r="G93" s="89">
        <v>0</v>
      </c>
      <c r="H93" s="89">
        <v>0</v>
      </c>
      <c r="I93" s="89">
        <v>0.1</v>
      </c>
      <c r="J93" s="89">
        <v>0</v>
      </c>
      <c r="K93" s="89">
        <v>0</v>
      </c>
      <c r="L93" s="89">
        <v>15.772</v>
      </c>
      <c r="M93" s="89">
        <v>0.0176475</v>
      </c>
      <c r="N93" s="89">
        <v>0</v>
      </c>
      <c r="O93" s="89">
        <v>0</v>
      </c>
      <c r="P93" s="89">
        <v>80</v>
      </c>
      <c r="Q93" s="89">
        <v>0</v>
      </c>
      <c r="R93" s="89" t="s">
        <v>90</v>
      </c>
      <c r="S93" s="89" t="s">
        <v>90</v>
      </c>
      <c r="T93" s="89" t="s">
        <v>90</v>
      </c>
      <c r="U93" s="90" t="s">
        <v>90</v>
      </c>
    </row>
    <row r="94" spans="1:21">
      <c r="A94" s="88">
        <v>93</v>
      </c>
      <c r="B94" s="89">
        <v>19</v>
      </c>
      <c r="C94" s="89">
        <v>1</v>
      </c>
      <c r="D94" s="89" t="s">
        <v>41</v>
      </c>
      <c r="E94" s="89">
        <v>0</v>
      </c>
      <c r="F94" s="89">
        <v>2055</v>
      </c>
      <c r="G94" s="89">
        <v>0</v>
      </c>
      <c r="H94" s="89">
        <v>35</v>
      </c>
      <c r="I94" s="89">
        <v>3</v>
      </c>
      <c r="J94" s="89">
        <v>48</v>
      </c>
      <c r="K94" s="89">
        <v>12</v>
      </c>
      <c r="L94" s="89">
        <v>6.2</v>
      </c>
      <c r="M94" s="89">
        <v>0.0272970987124464</v>
      </c>
      <c r="N94" s="89">
        <v>100</v>
      </c>
      <c r="O94" s="89">
        <v>350</v>
      </c>
      <c r="P94" s="89">
        <v>30</v>
      </c>
      <c r="Q94" s="89">
        <v>0.76</v>
      </c>
      <c r="R94" s="89" t="s">
        <v>90</v>
      </c>
      <c r="S94" s="89" t="s">
        <v>90</v>
      </c>
      <c r="T94" s="89" t="s">
        <v>90</v>
      </c>
      <c r="U94" s="90" t="s">
        <v>90</v>
      </c>
    </row>
    <row r="95" spans="1:21">
      <c r="A95" s="88">
        <v>94</v>
      </c>
      <c r="B95" s="89">
        <v>19</v>
      </c>
      <c r="C95" s="89">
        <v>2</v>
      </c>
      <c r="D95" s="89" t="s">
        <v>41</v>
      </c>
      <c r="E95" s="89">
        <v>0</v>
      </c>
      <c r="F95" s="89">
        <v>975</v>
      </c>
      <c r="G95" s="89">
        <v>0</v>
      </c>
      <c r="H95" s="89">
        <v>50</v>
      </c>
      <c r="I95" s="89">
        <v>1</v>
      </c>
      <c r="J95" s="89">
        <v>24</v>
      </c>
      <c r="K95" s="89">
        <v>6</v>
      </c>
      <c r="L95" s="89">
        <v>6.2</v>
      </c>
      <c r="M95" s="89">
        <v>0.030578</v>
      </c>
      <c r="N95" s="89">
        <v>30</v>
      </c>
      <c r="O95" s="89">
        <v>420</v>
      </c>
      <c r="P95" s="89">
        <v>30</v>
      </c>
      <c r="Q95" s="89">
        <v>0.85</v>
      </c>
      <c r="R95" s="89" t="s">
        <v>90</v>
      </c>
      <c r="S95" s="89" t="s">
        <v>90</v>
      </c>
      <c r="T95" s="89" t="s">
        <v>90</v>
      </c>
      <c r="U95" s="90" t="s">
        <v>90</v>
      </c>
    </row>
    <row r="96" spans="1:21">
      <c r="A96" s="88">
        <v>95</v>
      </c>
      <c r="B96" s="89">
        <v>19</v>
      </c>
      <c r="C96" s="89">
        <v>3</v>
      </c>
      <c r="D96" s="89" t="s">
        <v>41</v>
      </c>
      <c r="E96" s="89">
        <v>0</v>
      </c>
      <c r="F96" s="89">
        <v>416</v>
      </c>
      <c r="G96" s="89">
        <v>0</v>
      </c>
      <c r="H96" s="89">
        <v>30</v>
      </c>
      <c r="I96" s="89">
        <v>7</v>
      </c>
      <c r="J96" s="89">
        <v>2</v>
      </c>
      <c r="K96" s="89">
        <v>1</v>
      </c>
      <c r="L96" s="89">
        <v>9.8</v>
      </c>
      <c r="M96" s="89">
        <v>0.053048</v>
      </c>
      <c r="N96" s="89">
        <v>80</v>
      </c>
      <c r="O96" s="89">
        <v>200</v>
      </c>
      <c r="P96" s="89">
        <v>30</v>
      </c>
      <c r="Q96" s="89">
        <v>0.31</v>
      </c>
      <c r="R96" s="89" t="s">
        <v>90</v>
      </c>
      <c r="S96" s="89" t="s">
        <v>90</v>
      </c>
      <c r="T96" s="89" t="s">
        <v>90</v>
      </c>
      <c r="U96" s="90" t="s">
        <v>90</v>
      </c>
    </row>
    <row r="97" spans="1:21">
      <c r="A97" s="88">
        <v>96</v>
      </c>
      <c r="B97" s="89">
        <v>19</v>
      </c>
      <c r="C97" s="89">
        <v>12</v>
      </c>
      <c r="D97" s="89" t="s">
        <v>41</v>
      </c>
      <c r="E97" s="89">
        <v>0</v>
      </c>
      <c r="F97" s="89">
        <v>1125.51333333333</v>
      </c>
      <c r="G97" s="89">
        <v>0</v>
      </c>
      <c r="H97" s="89">
        <v>0</v>
      </c>
      <c r="I97" s="89">
        <v>100</v>
      </c>
      <c r="J97" s="89">
        <v>0</v>
      </c>
      <c r="K97" s="89">
        <v>0</v>
      </c>
      <c r="L97" s="89">
        <v>6.3</v>
      </c>
      <c r="M97" s="89">
        <v>0</v>
      </c>
      <c r="N97" s="89">
        <v>0</v>
      </c>
      <c r="O97" s="89">
        <v>420</v>
      </c>
      <c r="P97" s="89">
        <v>25</v>
      </c>
      <c r="Q97" s="89">
        <v>0</v>
      </c>
      <c r="R97" s="89" t="s">
        <v>90</v>
      </c>
      <c r="S97" s="89" t="s">
        <v>90</v>
      </c>
      <c r="T97" s="89" t="s">
        <v>90</v>
      </c>
      <c r="U97" s="90" t="s">
        <v>90</v>
      </c>
    </row>
    <row r="98" spans="1:21">
      <c r="A98" s="88">
        <v>97</v>
      </c>
      <c r="B98" s="89">
        <v>19</v>
      </c>
      <c r="C98" s="89">
        <v>31</v>
      </c>
      <c r="D98" s="89" t="s">
        <v>41</v>
      </c>
      <c r="E98" s="89">
        <v>0</v>
      </c>
      <c r="F98" s="89">
        <v>8000</v>
      </c>
      <c r="G98" s="89">
        <v>0</v>
      </c>
      <c r="H98" s="89">
        <v>0</v>
      </c>
      <c r="I98" s="89">
        <v>0.1</v>
      </c>
      <c r="J98" s="89">
        <v>0</v>
      </c>
      <c r="K98" s="89">
        <v>0</v>
      </c>
      <c r="L98" s="89">
        <v>15.772</v>
      </c>
      <c r="M98" s="89">
        <v>0.0176475</v>
      </c>
      <c r="N98" s="89">
        <v>0</v>
      </c>
      <c r="O98" s="89">
        <v>0</v>
      </c>
      <c r="P98" s="89">
        <v>80</v>
      </c>
      <c r="Q98" s="89">
        <v>0</v>
      </c>
      <c r="R98" s="89" t="s">
        <v>90</v>
      </c>
      <c r="S98" s="89" t="s">
        <v>90</v>
      </c>
      <c r="T98" s="89" t="s">
        <v>90</v>
      </c>
      <c r="U98" s="90" t="s">
        <v>90</v>
      </c>
    </row>
    <row r="99" spans="1:21">
      <c r="A99" s="88">
        <v>98</v>
      </c>
      <c r="B99" s="89">
        <v>20</v>
      </c>
      <c r="C99" s="89">
        <v>2</v>
      </c>
      <c r="D99" s="89" t="s">
        <v>41</v>
      </c>
      <c r="E99" s="89">
        <v>0</v>
      </c>
      <c r="F99" s="89">
        <v>31.5</v>
      </c>
      <c r="G99" s="89">
        <v>0</v>
      </c>
      <c r="H99" s="89">
        <v>50</v>
      </c>
      <c r="I99" s="89">
        <v>1</v>
      </c>
      <c r="J99" s="89">
        <v>24</v>
      </c>
      <c r="K99" s="89">
        <v>6</v>
      </c>
      <c r="L99" s="89">
        <v>6.2</v>
      </c>
      <c r="M99" s="89">
        <v>0.030578</v>
      </c>
      <c r="N99" s="89">
        <v>30</v>
      </c>
      <c r="O99" s="89">
        <v>420</v>
      </c>
      <c r="P99" s="89">
        <v>30</v>
      </c>
      <c r="Q99" s="89">
        <v>0.85</v>
      </c>
      <c r="R99" s="89" t="s">
        <v>90</v>
      </c>
      <c r="S99" s="89" t="s">
        <v>90</v>
      </c>
      <c r="T99" s="89" t="s">
        <v>90</v>
      </c>
      <c r="U99" s="90" t="s">
        <v>90</v>
      </c>
    </row>
    <row r="100" spans="1:21">
      <c r="A100" s="88">
        <v>99</v>
      </c>
      <c r="B100" s="89">
        <v>20</v>
      </c>
      <c r="C100" s="89">
        <v>3</v>
      </c>
      <c r="D100" s="89" t="s">
        <v>41</v>
      </c>
      <c r="E100" s="89">
        <v>0</v>
      </c>
      <c r="F100" s="89">
        <v>4287</v>
      </c>
      <c r="G100" s="89">
        <v>0</v>
      </c>
      <c r="H100" s="89">
        <v>30</v>
      </c>
      <c r="I100" s="89">
        <v>7</v>
      </c>
      <c r="J100" s="89">
        <v>2</v>
      </c>
      <c r="K100" s="89">
        <v>1</v>
      </c>
      <c r="L100" s="89">
        <v>9.8</v>
      </c>
      <c r="M100" s="89">
        <v>0.053048</v>
      </c>
      <c r="N100" s="89">
        <v>80</v>
      </c>
      <c r="O100" s="89">
        <v>200</v>
      </c>
      <c r="P100" s="89">
        <v>30</v>
      </c>
      <c r="Q100" s="89">
        <v>0.31</v>
      </c>
      <c r="R100" s="89" t="s">
        <v>90</v>
      </c>
      <c r="S100" s="89" t="s">
        <v>90</v>
      </c>
      <c r="T100" s="89" t="s">
        <v>90</v>
      </c>
      <c r="U100" s="90" t="s">
        <v>90</v>
      </c>
    </row>
    <row r="101" spans="1:21">
      <c r="A101" s="88">
        <v>100</v>
      </c>
      <c r="B101" s="89">
        <v>20</v>
      </c>
      <c r="C101" s="89">
        <v>4</v>
      </c>
      <c r="D101" s="89" t="s">
        <v>41</v>
      </c>
      <c r="E101" s="89">
        <v>0</v>
      </c>
      <c r="F101" s="89">
        <v>322.5</v>
      </c>
      <c r="G101" s="89">
        <v>0</v>
      </c>
      <c r="H101" s="89">
        <v>0</v>
      </c>
      <c r="I101" s="89">
        <v>100</v>
      </c>
      <c r="J101" s="89">
        <v>0</v>
      </c>
      <c r="K101" s="89">
        <v>0</v>
      </c>
      <c r="L101" s="89">
        <v>25.93</v>
      </c>
      <c r="M101" s="89">
        <v>0</v>
      </c>
      <c r="N101" s="89">
        <v>0</v>
      </c>
      <c r="O101" s="89">
        <v>1400</v>
      </c>
      <c r="P101" s="89">
        <v>80</v>
      </c>
      <c r="Q101" s="89">
        <v>0</v>
      </c>
      <c r="R101" s="89" t="s">
        <v>90</v>
      </c>
      <c r="S101" s="89" t="s">
        <v>90</v>
      </c>
      <c r="T101" s="89" t="s">
        <v>90</v>
      </c>
      <c r="U101" s="90" t="s">
        <v>90</v>
      </c>
    </row>
    <row r="102" spans="1:21">
      <c r="A102" s="88">
        <v>101</v>
      </c>
      <c r="B102" s="89">
        <v>20</v>
      </c>
      <c r="C102" s="89">
        <v>5</v>
      </c>
      <c r="D102" s="89" t="s">
        <v>41</v>
      </c>
      <c r="E102" s="89">
        <v>0</v>
      </c>
      <c r="F102" s="89">
        <v>4056</v>
      </c>
      <c r="G102" s="89">
        <v>0</v>
      </c>
      <c r="H102" s="89">
        <v>70</v>
      </c>
      <c r="I102" s="89">
        <v>0</v>
      </c>
      <c r="J102" s="89">
        <v>48</v>
      </c>
      <c r="K102" s="89">
        <v>12</v>
      </c>
      <c r="L102" s="89">
        <v>55.64</v>
      </c>
      <c r="M102" s="89">
        <v>0.004784</v>
      </c>
      <c r="N102" s="89">
        <v>120</v>
      </c>
      <c r="O102" s="89">
        <v>1750</v>
      </c>
      <c r="P102" s="89">
        <v>60</v>
      </c>
      <c r="Q102" s="89">
        <v>0</v>
      </c>
      <c r="R102" s="89" t="s">
        <v>90</v>
      </c>
      <c r="S102" s="89" t="s">
        <v>90</v>
      </c>
      <c r="T102" s="89" t="s">
        <v>90</v>
      </c>
      <c r="U102" s="90" t="s">
        <v>90</v>
      </c>
    </row>
    <row r="103" spans="1:21">
      <c r="A103" s="88">
        <v>102</v>
      </c>
      <c r="B103" s="89">
        <v>20</v>
      </c>
      <c r="C103" s="89">
        <v>11</v>
      </c>
      <c r="D103" s="89" t="s">
        <v>41</v>
      </c>
      <c r="E103" s="89">
        <v>0</v>
      </c>
      <c r="F103" s="89">
        <v>50</v>
      </c>
      <c r="G103" s="89">
        <v>0</v>
      </c>
      <c r="H103" s="89">
        <v>0</v>
      </c>
      <c r="I103" s="89">
        <v>100</v>
      </c>
      <c r="J103" s="89">
        <v>0</v>
      </c>
      <c r="K103" s="89">
        <v>0</v>
      </c>
      <c r="L103" s="89">
        <v>6.65</v>
      </c>
      <c r="M103" s="89">
        <v>0</v>
      </c>
      <c r="N103" s="89">
        <v>0</v>
      </c>
      <c r="O103" s="89">
        <v>420</v>
      </c>
      <c r="P103" s="89">
        <v>25</v>
      </c>
      <c r="Q103" s="89">
        <v>0</v>
      </c>
      <c r="R103" s="89" t="s">
        <v>90</v>
      </c>
      <c r="S103" s="89" t="s">
        <v>90</v>
      </c>
      <c r="T103" s="89" t="s">
        <v>90</v>
      </c>
      <c r="U103" s="90" t="s">
        <v>90</v>
      </c>
    </row>
    <row r="104" spans="1:21">
      <c r="A104" s="88">
        <v>103</v>
      </c>
      <c r="B104" s="89">
        <v>20</v>
      </c>
      <c r="C104" s="89">
        <v>12</v>
      </c>
      <c r="D104" s="89" t="s">
        <v>41</v>
      </c>
      <c r="E104" s="89">
        <v>0</v>
      </c>
      <c r="F104" s="89">
        <v>1633.894</v>
      </c>
      <c r="G104" s="89">
        <v>0</v>
      </c>
      <c r="H104" s="89">
        <v>0</v>
      </c>
      <c r="I104" s="89">
        <v>100</v>
      </c>
      <c r="J104" s="89">
        <v>0</v>
      </c>
      <c r="K104" s="89">
        <v>0</v>
      </c>
      <c r="L104" s="89">
        <v>6.3</v>
      </c>
      <c r="M104" s="89">
        <v>0</v>
      </c>
      <c r="N104" s="89">
        <v>0</v>
      </c>
      <c r="O104" s="89">
        <v>420</v>
      </c>
      <c r="P104" s="89">
        <v>25</v>
      </c>
      <c r="Q104" s="89">
        <v>0</v>
      </c>
      <c r="R104" s="89" t="s">
        <v>90</v>
      </c>
      <c r="S104" s="89" t="s">
        <v>90</v>
      </c>
      <c r="T104" s="89" t="s">
        <v>90</v>
      </c>
      <c r="U104" s="90" t="s">
        <v>90</v>
      </c>
    </row>
    <row r="105" spans="1:21">
      <c r="A105" s="88">
        <v>104</v>
      </c>
      <c r="B105" s="89">
        <v>20</v>
      </c>
      <c r="C105" s="89">
        <v>31</v>
      </c>
      <c r="D105" s="89" t="s">
        <v>41</v>
      </c>
      <c r="E105" s="89">
        <v>0</v>
      </c>
      <c r="F105" s="89">
        <v>8000</v>
      </c>
      <c r="G105" s="89">
        <v>0</v>
      </c>
      <c r="H105" s="89">
        <v>0</v>
      </c>
      <c r="I105" s="89">
        <v>0.1</v>
      </c>
      <c r="J105" s="89">
        <v>0</v>
      </c>
      <c r="K105" s="89">
        <v>0</v>
      </c>
      <c r="L105" s="89">
        <v>15.772</v>
      </c>
      <c r="M105" s="89">
        <v>0.0176475</v>
      </c>
      <c r="N105" s="89">
        <v>0</v>
      </c>
      <c r="O105" s="89">
        <v>0</v>
      </c>
      <c r="P105" s="89">
        <v>80</v>
      </c>
      <c r="Q105" s="89">
        <v>0</v>
      </c>
      <c r="R105" s="89" t="s">
        <v>90</v>
      </c>
      <c r="S105" s="89" t="s">
        <v>90</v>
      </c>
      <c r="T105" s="89" t="s">
        <v>90</v>
      </c>
      <c r="U105" s="90" t="s">
        <v>90</v>
      </c>
    </row>
    <row r="106" spans="1:21">
      <c r="A106" s="88">
        <v>105</v>
      </c>
      <c r="B106" s="89">
        <v>21</v>
      </c>
      <c r="C106" s="89">
        <v>4</v>
      </c>
      <c r="D106" s="89" t="s">
        <v>41</v>
      </c>
      <c r="E106" s="89">
        <v>0</v>
      </c>
      <c r="F106" s="89">
        <v>216.2</v>
      </c>
      <c r="G106" s="89">
        <v>0</v>
      </c>
      <c r="H106" s="89">
        <v>0</v>
      </c>
      <c r="I106" s="89">
        <v>100</v>
      </c>
      <c r="J106" s="89">
        <v>0</v>
      </c>
      <c r="K106" s="89">
        <v>0</v>
      </c>
      <c r="L106" s="89">
        <v>25.93</v>
      </c>
      <c r="M106" s="89">
        <v>0</v>
      </c>
      <c r="N106" s="89">
        <v>0</v>
      </c>
      <c r="O106" s="89">
        <v>1400</v>
      </c>
      <c r="P106" s="89">
        <v>80</v>
      </c>
      <c r="Q106" s="89">
        <v>0</v>
      </c>
      <c r="R106" s="89" t="s">
        <v>90</v>
      </c>
      <c r="S106" s="89" t="s">
        <v>90</v>
      </c>
      <c r="T106" s="89" t="s">
        <v>90</v>
      </c>
      <c r="U106" s="90" t="s">
        <v>90</v>
      </c>
    </row>
    <row r="107" spans="1:21">
      <c r="A107" s="88">
        <v>106</v>
      </c>
      <c r="B107" s="89">
        <v>21</v>
      </c>
      <c r="C107" s="89">
        <v>12</v>
      </c>
      <c r="D107" s="89" t="s">
        <v>41</v>
      </c>
      <c r="E107" s="89">
        <v>0</v>
      </c>
      <c r="F107" s="89">
        <v>1857</v>
      </c>
      <c r="G107" s="89">
        <v>0</v>
      </c>
      <c r="H107" s="89">
        <v>0</v>
      </c>
      <c r="I107" s="89">
        <v>100</v>
      </c>
      <c r="J107" s="89">
        <v>0</v>
      </c>
      <c r="K107" s="89">
        <v>0</v>
      </c>
      <c r="L107" s="89">
        <v>6.3</v>
      </c>
      <c r="M107" s="89">
        <v>0</v>
      </c>
      <c r="N107" s="89">
        <v>0</v>
      </c>
      <c r="O107" s="89">
        <v>420</v>
      </c>
      <c r="P107" s="89">
        <v>25</v>
      </c>
      <c r="Q107" s="89">
        <v>0</v>
      </c>
      <c r="R107" s="89" t="s">
        <v>90</v>
      </c>
      <c r="S107" s="89" t="s">
        <v>90</v>
      </c>
      <c r="T107" s="89" t="s">
        <v>90</v>
      </c>
      <c r="U107" s="90" t="s">
        <v>90</v>
      </c>
    </row>
    <row r="108" spans="1:21">
      <c r="A108" s="88">
        <v>107</v>
      </c>
      <c r="B108" s="89">
        <v>21</v>
      </c>
      <c r="C108" s="89">
        <v>14</v>
      </c>
      <c r="D108" s="89" t="s">
        <v>41</v>
      </c>
      <c r="E108" s="89">
        <v>0</v>
      </c>
      <c r="F108" s="89">
        <v>250</v>
      </c>
      <c r="G108" s="89">
        <v>0</v>
      </c>
      <c r="H108" s="89">
        <v>0</v>
      </c>
      <c r="I108" s="89">
        <v>100</v>
      </c>
      <c r="J108" s="89">
        <v>0</v>
      </c>
      <c r="K108" s="89">
        <v>0</v>
      </c>
      <c r="L108" s="89">
        <v>14.6</v>
      </c>
      <c r="M108" s="89">
        <v>0</v>
      </c>
      <c r="N108" s="89">
        <v>0</v>
      </c>
      <c r="O108" s="89">
        <v>520</v>
      </c>
      <c r="P108" s="89">
        <v>25</v>
      </c>
      <c r="Q108" s="89">
        <v>0</v>
      </c>
      <c r="R108" s="89" t="s">
        <v>90</v>
      </c>
      <c r="S108" s="89" t="s">
        <v>90</v>
      </c>
      <c r="T108" s="89" t="s">
        <v>90</v>
      </c>
      <c r="U108" s="90" t="s">
        <v>90</v>
      </c>
    </row>
    <row r="109" spans="1:21">
      <c r="A109" s="88">
        <v>108</v>
      </c>
      <c r="B109" s="89">
        <v>22</v>
      </c>
      <c r="C109" s="89">
        <v>1</v>
      </c>
      <c r="D109" s="89" t="s">
        <v>41</v>
      </c>
      <c r="E109" s="89">
        <v>0</v>
      </c>
      <c r="F109" s="89">
        <v>6640</v>
      </c>
      <c r="G109" s="89">
        <v>0</v>
      </c>
      <c r="H109" s="89">
        <v>35</v>
      </c>
      <c r="I109" s="89">
        <v>3</v>
      </c>
      <c r="J109" s="89">
        <v>48</v>
      </c>
      <c r="K109" s="89">
        <v>12</v>
      </c>
      <c r="L109" s="89">
        <v>6.2</v>
      </c>
      <c r="M109" s="89">
        <v>0.0272970987124464</v>
      </c>
      <c r="N109" s="89">
        <v>100</v>
      </c>
      <c r="O109" s="89">
        <v>350</v>
      </c>
      <c r="P109" s="89">
        <v>30</v>
      </c>
      <c r="Q109" s="89">
        <v>0.76</v>
      </c>
      <c r="R109" s="89" t="s">
        <v>90</v>
      </c>
      <c r="S109" s="89" t="s">
        <v>90</v>
      </c>
      <c r="T109" s="89" t="s">
        <v>90</v>
      </c>
      <c r="U109" s="90" t="s">
        <v>90</v>
      </c>
    </row>
    <row r="110" spans="1:21">
      <c r="A110" s="88">
        <v>109</v>
      </c>
      <c r="B110" s="89">
        <v>22</v>
      </c>
      <c r="C110" s="89">
        <v>2</v>
      </c>
      <c r="D110" s="89" t="s">
        <v>41</v>
      </c>
      <c r="E110" s="89">
        <v>0</v>
      </c>
      <c r="F110" s="89">
        <v>660</v>
      </c>
      <c r="G110" s="89">
        <v>0</v>
      </c>
      <c r="H110" s="89">
        <v>50</v>
      </c>
      <c r="I110" s="89">
        <v>1</v>
      </c>
      <c r="J110" s="89">
        <v>24</v>
      </c>
      <c r="K110" s="89">
        <v>6</v>
      </c>
      <c r="L110" s="89">
        <v>6.2</v>
      </c>
      <c r="M110" s="89">
        <v>0.030578</v>
      </c>
      <c r="N110" s="89">
        <v>30</v>
      </c>
      <c r="O110" s="89">
        <v>420</v>
      </c>
      <c r="P110" s="89">
        <v>30</v>
      </c>
      <c r="Q110" s="89">
        <v>0.85</v>
      </c>
      <c r="R110" s="89" t="s">
        <v>90</v>
      </c>
      <c r="S110" s="89" t="s">
        <v>90</v>
      </c>
      <c r="T110" s="89" t="s">
        <v>90</v>
      </c>
      <c r="U110" s="90" t="s">
        <v>90</v>
      </c>
    </row>
    <row r="111" spans="1:21">
      <c r="A111" s="88">
        <v>110</v>
      </c>
      <c r="B111" s="89">
        <v>22</v>
      </c>
      <c r="C111" s="89">
        <v>3</v>
      </c>
      <c r="D111" s="89" t="s">
        <v>41</v>
      </c>
      <c r="E111" s="89">
        <v>0</v>
      </c>
      <c r="F111" s="89">
        <v>435</v>
      </c>
      <c r="G111" s="89">
        <v>0</v>
      </c>
      <c r="H111" s="89">
        <v>30</v>
      </c>
      <c r="I111" s="89">
        <v>7</v>
      </c>
      <c r="J111" s="89">
        <v>2</v>
      </c>
      <c r="K111" s="89">
        <v>1</v>
      </c>
      <c r="L111" s="89">
        <v>9.8</v>
      </c>
      <c r="M111" s="89">
        <v>0.053048</v>
      </c>
      <c r="N111" s="89">
        <v>80</v>
      </c>
      <c r="O111" s="89">
        <v>200</v>
      </c>
      <c r="P111" s="89">
        <v>30</v>
      </c>
      <c r="Q111" s="89">
        <v>0.31</v>
      </c>
      <c r="R111" s="89" t="s">
        <v>90</v>
      </c>
      <c r="S111" s="89" t="s">
        <v>90</v>
      </c>
      <c r="T111" s="89" t="s">
        <v>90</v>
      </c>
      <c r="U111" s="90" t="s">
        <v>90</v>
      </c>
    </row>
    <row r="112" spans="1:21">
      <c r="A112" s="88">
        <v>111</v>
      </c>
      <c r="B112" s="89">
        <v>22</v>
      </c>
      <c r="C112" s="89">
        <v>5</v>
      </c>
      <c r="D112" s="89" t="s">
        <v>41</v>
      </c>
      <c r="E112" s="89">
        <v>0</v>
      </c>
      <c r="F112" s="89">
        <v>2498</v>
      </c>
      <c r="G112" s="89">
        <v>0</v>
      </c>
      <c r="H112" s="89">
        <v>70</v>
      </c>
      <c r="I112" s="89">
        <v>0</v>
      </c>
      <c r="J112" s="89">
        <v>48</v>
      </c>
      <c r="K112" s="89">
        <v>12</v>
      </c>
      <c r="L112" s="89">
        <v>55.64</v>
      </c>
      <c r="M112" s="89">
        <v>0.004784</v>
      </c>
      <c r="N112" s="89">
        <v>120</v>
      </c>
      <c r="O112" s="89">
        <v>1750</v>
      </c>
      <c r="P112" s="89">
        <v>60</v>
      </c>
      <c r="Q112" s="89">
        <v>0</v>
      </c>
      <c r="R112" s="89" t="s">
        <v>90</v>
      </c>
      <c r="S112" s="89" t="s">
        <v>90</v>
      </c>
      <c r="T112" s="89" t="s">
        <v>90</v>
      </c>
      <c r="U112" s="90" t="s">
        <v>90</v>
      </c>
    </row>
    <row r="113" spans="1:21">
      <c r="A113" s="88">
        <v>112</v>
      </c>
      <c r="B113" s="89">
        <v>22</v>
      </c>
      <c r="C113" s="89">
        <v>12</v>
      </c>
      <c r="D113" s="89" t="s">
        <v>41</v>
      </c>
      <c r="E113" s="89">
        <v>0</v>
      </c>
      <c r="F113" s="89">
        <v>2048.44</v>
      </c>
      <c r="G113" s="89">
        <v>0</v>
      </c>
      <c r="H113" s="89">
        <v>0</v>
      </c>
      <c r="I113" s="89">
        <v>100</v>
      </c>
      <c r="J113" s="89">
        <v>0</v>
      </c>
      <c r="K113" s="89">
        <v>0</v>
      </c>
      <c r="L113" s="89">
        <v>6.3</v>
      </c>
      <c r="M113" s="89">
        <v>0</v>
      </c>
      <c r="N113" s="89">
        <v>0</v>
      </c>
      <c r="O113" s="89">
        <v>420</v>
      </c>
      <c r="P113" s="89">
        <v>25</v>
      </c>
      <c r="Q113" s="89">
        <v>0</v>
      </c>
      <c r="R113" s="89" t="s">
        <v>90</v>
      </c>
      <c r="S113" s="89" t="s">
        <v>90</v>
      </c>
      <c r="T113" s="89" t="s">
        <v>90</v>
      </c>
      <c r="U113" s="90" t="s">
        <v>90</v>
      </c>
    </row>
    <row r="114" spans="1:21">
      <c r="A114" s="88">
        <v>113</v>
      </c>
      <c r="B114" s="89">
        <v>22</v>
      </c>
      <c r="C114" s="89">
        <v>15</v>
      </c>
      <c r="D114" s="89" t="s">
        <v>41</v>
      </c>
      <c r="E114" s="89">
        <v>0</v>
      </c>
      <c r="F114" s="89">
        <v>1002</v>
      </c>
      <c r="G114" s="89">
        <v>0</v>
      </c>
      <c r="H114" s="89">
        <v>0</v>
      </c>
      <c r="I114" s="89">
        <v>100</v>
      </c>
      <c r="J114" s="89">
        <v>0</v>
      </c>
      <c r="K114" s="89">
        <v>0</v>
      </c>
      <c r="L114" s="89">
        <v>43.45</v>
      </c>
      <c r="M114" s="89">
        <v>0</v>
      </c>
      <c r="N114" s="89">
        <v>0</v>
      </c>
      <c r="O114" s="89">
        <v>1400</v>
      </c>
      <c r="P114" s="89">
        <v>25</v>
      </c>
      <c r="Q114" s="89">
        <v>0</v>
      </c>
      <c r="R114" s="89" t="s">
        <v>90</v>
      </c>
      <c r="S114" s="89" t="s">
        <v>90</v>
      </c>
      <c r="T114" s="89" t="s">
        <v>90</v>
      </c>
      <c r="U114" s="90" t="s">
        <v>90</v>
      </c>
    </row>
    <row r="115" spans="1:21">
      <c r="A115" s="88">
        <v>114</v>
      </c>
      <c r="B115" s="89">
        <v>23</v>
      </c>
      <c r="C115" s="89">
        <v>1</v>
      </c>
      <c r="D115" s="89" t="s">
        <v>41</v>
      </c>
      <c r="E115" s="89">
        <v>0</v>
      </c>
      <c r="F115" s="89">
        <v>9960</v>
      </c>
      <c r="G115" s="89">
        <v>0</v>
      </c>
      <c r="H115" s="89">
        <v>35</v>
      </c>
      <c r="I115" s="89">
        <v>3</v>
      </c>
      <c r="J115" s="89">
        <v>48</v>
      </c>
      <c r="K115" s="89">
        <v>12</v>
      </c>
      <c r="L115" s="89">
        <v>6.2</v>
      </c>
      <c r="M115" s="89">
        <v>0.0272970987124464</v>
      </c>
      <c r="N115" s="89">
        <v>100</v>
      </c>
      <c r="O115" s="89">
        <v>350</v>
      </c>
      <c r="P115" s="89">
        <v>30</v>
      </c>
      <c r="Q115" s="89">
        <v>0.76</v>
      </c>
      <c r="R115" s="89" t="s">
        <v>90</v>
      </c>
      <c r="S115" s="89" t="s">
        <v>90</v>
      </c>
      <c r="T115" s="89" t="s">
        <v>90</v>
      </c>
      <c r="U115" s="90" t="s">
        <v>90</v>
      </c>
    </row>
    <row r="116" spans="1:21">
      <c r="A116" s="88">
        <v>115</v>
      </c>
      <c r="B116" s="89">
        <v>23</v>
      </c>
      <c r="C116" s="89">
        <v>2</v>
      </c>
      <c r="D116" s="89" t="s">
        <v>41</v>
      </c>
      <c r="E116" s="89">
        <v>0</v>
      </c>
      <c r="F116" s="89">
        <v>1615</v>
      </c>
      <c r="G116" s="89">
        <v>0</v>
      </c>
      <c r="H116" s="89">
        <v>50</v>
      </c>
      <c r="I116" s="89">
        <v>1</v>
      </c>
      <c r="J116" s="89">
        <v>24</v>
      </c>
      <c r="K116" s="89">
        <v>6</v>
      </c>
      <c r="L116" s="89">
        <v>6.2</v>
      </c>
      <c r="M116" s="89">
        <v>0.030578</v>
      </c>
      <c r="N116" s="89">
        <v>30</v>
      </c>
      <c r="O116" s="89">
        <v>420</v>
      </c>
      <c r="P116" s="89">
        <v>30</v>
      </c>
      <c r="Q116" s="89">
        <v>0.85</v>
      </c>
      <c r="R116" s="89" t="s">
        <v>90</v>
      </c>
      <c r="S116" s="89" t="s">
        <v>90</v>
      </c>
      <c r="T116" s="89" t="s">
        <v>90</v>
      </c>
      <c r="U116" s="90" t="s">
        <v>90</v>
      </c>
    </row>
    <row r="117" spans="1:21">
      <c r="A117" s="88">
        <v>116</v>
      </c>
      <c r="B117" s="89">
        <v>23</v>
      </c>
      <c r="C117" s="89">
        <v>3</v>
      </c>
      <c r="D117" s="89" t="s">
        <v>41</v>
      </c>
      <c r="E117" s="89">
        <v>0</v>
      </c>
      <c r="F117" s="89">
        <v>300</v>
      </c>
      <c r="G117" s="89">
        <v>0</v>
      </c>
      <c r="H117" s="89">
        <v>30</v>
      </c>
      <c r="I117" s="89">
        <v>7</v>
      </c>
      <c r="J117" s="89">
        <v>2</v>
      </c>
      <c r="K117" s="89">
        <v>1</v>
      </c>
      <c r="L117" s="89">
        <v>9.8</v>
      </c>
      <c r="M117" s="89">
        <v>0.053048</v>
      </c>
      <c r="N117" s="89">
        <v>80</v>
      </c>
      <c r="O117" s="89">
        <v>200</v>
      </c>
      <c r="P117" s="89">
        <v>30</v>
      </c>
      <c r="Q117" s="89">
        <v>0.31</v>
      </c>
      <c r="R117" s="89" t="s">
        <v>90</v>
      </c>
      <c r="S117" s="89" t="s">
        <v>90</v>
      </c>
      <c r="T117" s="89" t="s">
        <v>90</v>
      </c>
      <c r="U117" s="90" t="s">
        <v>90</v>
      </c>
    </row>
    <row r="118" spans="1:21">
      <c r="A118" s="88">
        <v>117</v>
      </c>
      <c r="B118" s="89">
        <v>23</v>
      </c>
      <c r="C118" s="89">
        <v>4</v>
      </c>
      <c r="D118" s="89" t="s">
        <v>41</v>
      </c>
      <c r="E118" s="89">
        <v>0</v>
      </c>
      <c r="F118" s="89">
        <v>702</v>
      </c>
      <c r="G118" s="89">
        <v>0</v>
      </c>
      <c r="H118" s="89">
        <v>0</v>
      </c>
      <c r="I118" s="89">
        <v>100</v>
      </c>
      <c r="J118" s="89">
        <v>0</v>
      </c>
      <c r="K118" s="89">
        <v>0</v>
      </c>
      <c r="L118" s="89">
        <v>25.93</v>
      </c>
      <c r="M118" s="89">
        <v>0</v>
      </c>
      <c r="N118" s="89">
        <v>0</v>
      </c>
      <c r="O118" s="89">
        <v>1400</v>
      </c>
      <c r="P118" s="89">
        <v>80</v>
      </c>
      <c r="Q118" s="89">
        <v>0</v>
      </c>
      <c r="R118" s="89" t="s">
        <v>90</v>
      </c>
      <c r="S118" s="89" t="s">
        <v>90</v>
      </c>
      <c r="T118" s="89" t="s">
        <v>90</v>
      </c>
      <c r="U118" s="90" t="s">
        <v>90</v>
      </c>
    </row>
    <row r="119" spans="1:21">
      <c r="A119" s="88">
        <v>118</v>
      </c>
      <c r="B119" s="89">
        <v>23</v>
      </c>
      <c r="C119" s="89">
        <v>5</v>
      </c>
      <c r="D119" s="89" t="s">
        <v>41</v>
      </c>
      <c r="E119" s="89">
        <v>0</v>
      </c>
      <c r="F119" s="89">
        <v>1200</v>
      </c>
      <c r="G119" s="89">
        <v>0</v>
      </c>
      <c r="H119" s="89">
        <v>70</v>
      </c>
      <c r="I119" s="89">
        <v>0</v>
      </c>
      <c r="J119" s="89">
        <v>48</v>
      </c>
      <c r="K119" s="89">
        <v>12</v>
      </c>
      <c r="L119" s="89">
        <v>55.64</v>
      </c>
      <c r="M119" s="89">
        <v>0.004784</v>
      </c>
      <c r="N119" s="89">
        <v>120</v>
      </c>
      <c r="O119" s="89">
        <v>1750</v>
      </c>
      <c r="P119" s="89">
        <v>60</v>
      </c>
      <c r="Q119" s="89">
        <v>0</v>
      </c>
      <c r="R119" s="89" t="s">
        <v>90</v>
      </c>
      <c r="S119" s="89" t="s">
        <v>90</v>
      </c>
      <c r="T119" s="89" t="s">
        <v>90</v>
      </c>
      <c r="U119" s="90" t="s">
        <v>90</v>
      </c>
    </row>
    <row r="120" spans="1:21">
      <c r="A120" s="88">
        <v>119</v>
      </c>
      <c r="B120" s="89">
        <v>23</v>
      </c>
      <c r="C120" s="89">
        <v>11</v>
      </c>
      <c r="D120" s="89" t="s">
        <v>41</v>
      </c>
      <c r="E120" s="89">
        <v>0</v>
      </c>
      <c r="F120" s="89">
        <v>1450</v>
      </c>
      <c r="G120" s="89">
        <v>0</v>
      </c>
      <c r="H120" s="89">
        <v>0</v>
      </c>
      <c r="I120" s="89">
        <v>100</v>
      </c>
      <c r="J120" s="89">
        <v>0</v>
      </c>
      <c r="K120" s="89">
        <v>0</v>
      </c>
      <c r="L120" s="89">
        <v>6.65</v>
      </c>
      <c r="M120" s="89">
        <v>0</v>
      </c>
      <c r="N120" s="89">
        <v>0</v>
      </c>
      <c r="O120" s="89">
        <v>420</v>
      </c>
      <c r="P120" s="89">
        <v>25</v>
      </c>
      <c r="Q120" s="89">
        <v>0</v>
      </c>
      <c r="R120" s="89" t="s">
        <v>90</v>
      </c>
      <c r="S120" s="89" t="s">
        <v>90</v>
      </c>
      <c r="T120" s="89" t="s">
        <v>90</v>
      </c>
      <c r="U120" s="90" t="s">
        <v>90</v>
      </c>
    </row>
    <row r="121" spans="1:21">
      <c r="A121" s="88">
        <v>120</v>
      </c>
      <c r="B121" s="89">
        <v>23</v>
      </c>
      <c r="C121" s="89">
        <v>12</v>
      </c>
      <c r="D121" s="89" t="s">
        <v>41</v>
      </c>
      <c r="E121" s="89">
        <v>0</v>
      </c>
      <c r="F121" s="89">
        <v>668.4</v>
      </c>
      <c r="G121" s="89">
        <v>0</v>
      </c>
      <c r="H121" s="89">
        <v>0</v>
      </c>
      <c r="I121" s="89">
        <v>100</v>
      </c>
      <c r="J121" s="89">
        <v>0</v>
      </c>
      <c r="K121" s="89">
        <v>0</v>
      </c>
      <c r="L121" s="89">
        <v>6.3</v>
      </c>
      <c r="M121" s="89">
        <v>0</v>
      </c>
      <c r="N121" s="89">
        <v>0</v>
      </c>
      <c r="O121" s="89">
        <v>420</v>
      </c>
      <c r="P121" s="89">
        <v>25</v>
      </c>
      <c r="Q121" s="89">
        <v>0</v>
      </c>
      <c r="R121" s="89" t="s">
        <v>90</v>
      </c>
      <c r="S121" s="89" t="s">
        <v>90</v>
      </c>
      <c r="T121" s="89" t="s">
        <v>90</v>
      </c>
      <c r="U121" s="90" t="s">
        <v>90</v>
      </c>
    </row>
    <row r="122" spans="1:21">
      <c r="A122" s="88">
        <v>121</v>
      </c>
      <c r="B122" s="89">
        <v>23</v>
      </c>
      <c r="C122" s="89">
        <v>14</v>
      </c>
      <c r="D122" s="89" t="s">
        <v>41</v>
      </c>
      <c r="E122" s="89">
        <v>0</v>
      </c>
      <c r="F122" s="89">
        <v>89.9</v>
      </c>
      <c r="G122" s="89">
        <v>0</v>
      </c>
      <c r="H122" s="89">
        <v>0</v>
      </c>
      <c r="I122" s="89">
        <v>100</v>
      </c>
      <c r="J122" s="89">
        <v>0</v>
      </c>
      <c r="K122" s="89">
        <v>0</v>
      </c>
      <c r="L122" s="89">
        <v>14.6</v>
      </c>
      <c r="M122" s="89">
        <v>0</v>
      </c>
      <c r="N122" s="89">
        <v>0</v>
      </c>
      <c r="O122" s="89">
        <v>520</v>
      </c>
      <c r="P122" s="89">
        <v>25</v>
      </c>
      <c r="Q122" s="89">
        <v>0</v>
      </c>
      <c r="R122" s="89" t="s">
        <v>90</v>
      </c>
      <c r="S122" s="89" t="s">
        <v>90</v>
      </c>
      <c r="T122" s="89" t="s">
        <v>90</v>
      </c>
      <c r="U122" s="90" t="s">
        <v>90</v>
      </c>
    </row>
    <row r="123" spans="1:21">
      <c r="A123" s="88">
        <v>122</v>
      </c>
      <c r="B123" s="89">
        <v>23</v>
      </c>
      <c r="C123" s="89">
        <v>15</v>
      </c>
      <c r="D123" s="89" t="s">
        <v>41</v>
      </c>
      <c r="E123" s="89">
        <v>0</v>
      </c>
      <c r="F123" s="89">
        <v>1253.2</v>
      </c>
      <c r="G123" s="89">
        <v>0</v>
      </c>
      <c r="H123" s="89">
        <v>0</v>
      </c>
      <c r="I123" s="89">
        <v>100</v>
      </c>
      <c r="J123" s="89">
        <v>0</v>
      </c>
      <c r="K123" s="89">
        <v>0</v>
      </c>
      <c r="L123" s="89">
        <v>43.45</v>
      </c>
      <c r="M123" s="89">
        <v>0</v>
      </c>
      <c r="N123" s="89">
        <v>0</v>
      </c>
      <c r="O123" s="89">
        <v>1400</v>
      </c>
      <c r="P123" s="89">
        <v>25</v>
      </c>
      <c r="Q123" s="89">
        <v>0</v>
      </c>
      <c r="R123" s="89" t="s">
        <v>90</v>
      </c>
      <c r="S123" s="89" t="s">
        <v>90</v>
      </c>
      <c r="T123" s="89" t="s">
        <v>90</v>
      </c>
      <c r="U123" s="90" t="s">
        <v>90</v>
      </c>
    </row>
    <row r="124" spans="1:21">
      <c r="A124" s="88">
        <v>123</v>
      </c>
      <c r="B124" s="89">
        <v>24</v>
      </c>
      <c r="C124" s="89">
        <v>1</v>
      </c>
      <c r="D124" s="89" t="s">
        <v>41</v>
      </c>
      <c r="E124" s="89">
        <v>0</v>
      </c>
      <c r="F124" s="89">
        <v>1320</v>
      </c>
      <c r="G124" s="89">
        <v>0</v>
      </c>
      <c r="H124" s="89">
        <v>35</v>
      </c>
      <c r="I124" s="89">
        <v>3</v>
      </c>
      <c r="J124" s="89">
        <v>48</v>
      </c>
      <c r="K124" s="89">
        <v>12</v>
      </c>
      <c r="L124" s="89">
        <v>6.2</v>
      </c>
      <c r="M124" s="89">
        <v>0.0272970987124464</v>
      </c>
      <c r="N124" s="89">
        <v>100</v>
      </c>
      <c r="O124" s="89">
        <v>350</v>
      </c>
      <c r="P124" s="89">
        <v>30</v>
      </c>
      <c r="Q124" s="89">
        <v>0.76</v>
      </c>
      <c r="R124" s="89" t="s">
        <v>90</v>
      </c>
      <c r="S124" s="89" t="s">
        <v>90</v>
      </c>
      <c r="T124" s="89" t="s">
        <v>90</v>
      </c>
      <c r="U124" s="90" t="s">
        <v>90</v>
      </c>
    </row>
    <row r="125" spans="1:21">
      <c r="A125" s="88">
        <v>124</v>
      </c>
      <c r="B125" s="89">
        <v>24</v>
      </c>
      <c r="C125" s="89">
        <v>2</v>
      </c>
      <c r="D125" s="89" t="s">
        <v>41</v>
      </c>
      <c r="E125" s="89">
        <v>0</v>
      </c>
      <c r="F125" s="89">
        <v>1322</v>
      </c>
      <c r="G125" s="89">
        <v>0</v>
      </c>
      <c r="H125" s="89">
        <v>50</v>
      </c>
      <c r="I125" s="89">
        <v>1</v>
      </c>
      <c r="J125" s="89">
        <v>24</v>
      </c>
      <c r="K125" s="89">
        <v>6</v>
      </c>
      <c r="L125" s="89">
        <v>6.2</v>
      </c>
      <c r="M125" s="89">
        <v>0.030578</v>
      </c>
      <c r="N125" s="89">
        <v>30</v>
      </c>
      <c r="O125" s="89">
        <v>420</v>
      </c>
      <c r="P125" s="89">
        <v>30</v>
      </c>
      <c r="Q125" s="89">
        <v>0.85</v>
      </c>
      <c r="R125" s="89" t="s">
        <v>90</v>
      </c>
      <c r="S125" s="89" t="s">
        <v>90</v>
      </c>
      <c r="T125" s="89" t="s">
        <v>90</v>
      </c>
      <c r="U125" s="90" t="s">
        <v>90</v>
      </c>
    </row>
    <row r="126" spans="1:21">
      <c r="A126" s="88">
        <v>125</v>
      </c>
      <c r="B126" s="89">
        <v>24</v>
      </c>
      <c r="C126" s="89">
        <v>3</v>
      </c>
      <c r="D126" s="89" t="s">
        <v>41</v>
      </c>
      <c r="E126" s="89">
        <v>0</v>
      </c>
      <c r="F126" s="89">
        <v>549</v>
      </c>
      <c r="G126" s="89">
        <v>0</v>
      </c>
      <c r="H126" s="89">
        <v>30</v>
      </c>
      <c r="I126" s="89">
        <v>7</v>
      </c>
      <c r="J126" s="89">
        <v>2</v>
      </c>
      <c r="K126" s="89">
        <v>1</v>
      </c>
      <c r="L126" s="89">
        <v>9.8</v>
      </c>
      <c r="M126" s="89">
        <v>0.053048</v>
      </c>
      <c r="N126" s="89">
        <v>80</v>
      </c>
      <c r="O126" s="89">
        <v>200</v>
      </c>
      <c r="P126" s="89">
        <v>30</v>
      </c>
      <c r="Q126" s="89">
        <v>0.31</v>
      </c>
      <c r="R126" s="89" t="s">
        <v>90</v>
      </c>
      <c r="S126" s="89" t="s">
        <v>90</v>
      </c>
      <c r="T126" s="89" t="s">
        <v>90</v>
      </c>
      <c r="U126" s="90" t="s">
        <v>90</v>
      </c>
    </row>
    <row r="127" spans="1:21">
      <c r="A127" s="88">
        <v>126</v>
      </c>
      <c r="B127" s="89">
        <v>24</v>
      </c>
      <c r="C127" s="89">
        <v>12</v>
      </c>
      <c r="D127" s="89" t="s">
        <v>41</v>
      </c>
      <c r="E127" s="89">
        <v>0</v>
      </c>
      <c r="F127" s="89">
        <v>777.01</v>
      </c>
      <c r="G127" s="89">
        <v>0</v>
      </c>
      <c r="H127" s="89">
        <v>0</v>
      </c>
      <c r="I127" s="89">
        <v>100</v>
      </c>
      <c r="J127" s="89">
        <v>0</v>
      </c>
      <c r="K127" s="89">
        <v>0</v>
      </c>
      <c r="L127" s="89">
        <v>6.3</v>
      </c>
      <c r="M127" s="89">
        <v>0</v>
      </c>
      <c r="N127" s="89">
        <v>0</v>
      </c>
      <c r="O127" s="89">
        <v>420</v>
      </c>
      <c r="P127" s="89">
        <v>25</v>
      </c>
      <c r="Q127" s="89">
        <v>0</v>
      </c>
      <c r="R127" s="89" t="s">
        <v>90</v>
      </c>
      <c r="S127" s="89" t="s">
        <v>90</v>
      </c>
      <c r="T127" s="89" t="s">
        <v>90</v>
      </c>
      <c r="U127" s="90" t="s">
        <v>90</v>
      </c>
    </row>
    <row r="128" spans="1:21">
      <c r="A128" s="88">
        <v>127</v>
      </c>
      <c r="B128" s="89">
        <v>24</v>
      </c>
      <c r="C128" s="89">
        <v>14</v>
      </c>
      <c r="D128" s="89" t="s">
        <v>41</v>
      </c>
      <c r="E128" s="89">
        <v>0</v>
      </c>
      <c r="F128" s="89">
        <v>12</v>
      </c>
      <c r="G128" s="89">
        <v>0</v>
      </c>
      <c r="H128" s="89">
        <v>0</v>
      </c>
      <c r="I128" s="89">
        <v>100</v>
      </c>
      <c r="J128" s="89">
        <v>0</v>
      </c>
      <c r="K128" s="89">
        <v>0</v>
      </c>
      <c r="L128" s="89">
        <v>14.6</v>
      </c>
      <c r="M128" s="89">
        <v>0</v>
      </c>
      <c r="N128" s="89">
        <v>0</v>
      </c>
      <c r="O128" s="89">
        <v>520</v>
      </c>
      <c r="P128" s="89">
        <v>25</v>
      </c>
      <c r="Q128" s="89">
        <v>0</v>
      </c>
      <c r="R128" s="89" t="s">
        <v>90</v>
      </c>
      <c r="S128" s="89" t="s">
        <v>90</v>
      </c>
      <c r="T128" s="89" t="s">
        <v>90</v>
      </c>
      <c r="U128" s="90" t="s">
        <v>90</v>
      </c>
    </row>
    <row r="129" spans="1:21">
      <c r="A129" s="88">
        <v>128</v>
      </c>
      <c r="B129" s="89">
        <v>24</v>
      </c>
      <c r="C129" s="89">
        <v>15</v>
      </c>
      <c r="D129" s="89" t="s">
        <v>41</v>
      </c>
      <c r="E129" s="89">
        <v>0</v>
      </c>
      <c r="F129" s="89">
        <v>804</v>
      </c>
      <c r="G129" s="89">
        <v>0</v>
      </c>
      <c r="H129" s="89">
        <v>0</v>
      </c>
      <c r="I129" s="89">
        <v>100</v>
      </c>
      <c r="J129" s="89">
        <v>0</v>
      </c>
      <c r="K129" s="89">
        <v>0</v>
      </c>
      <c r="L129" s="89">
        <v>43.45</v>
      </c>
      <c r="M129" s="89">
        <v>0</v>
      </c>
      <c r="N129" s="89">
        <v>0</v>
      </c>
      <c r="O129" s="89">
        <v>1400</v>
      </c>
      <c r="P129" s="89">
        <v>25</v>
      </c>
      <c r="Q129" s="89">
        <v>0</v>
      </c>
      <c r="R129" s="89" t="s">
        <v>90</v>
      </c>
      <c r="S129" s="89" t="s">
        <v>90</v>
      </c>
      <c r="T129" s="89" t="s">
        <v>90</v>
      </c>
      <c r="U129" s="90" t="s">
        <v>90</v>
      </c>
    </row>
    <row r="130" spans="1:21">
      <c r="A130" s="88">
        <v>129</v>
      </c>
      <c r="B130" s="89">
        <v>25</v>
      </c>
      <c r="C130" s="89">
        <v>1</v>
      </c>
      <c r="D130" s="89" t="s">
        <v>41</v>
      </c>
      <c r="E130" s="89">
        <v>0</v>
      </c>
      <c r="F130" s="89">
        <v>17786</v>
      </c>
      <c r="G130" s="89">
        <v>0</v>
      </c>
      <c r="H130" s="89">
        <v>35</v>
      </c>
      <c r="I130" s="89">
        <v>3</v>
      </c>
      <c r="J130" s="89">
        <v>48</v>
      </c>
      <c r="K130" s="89">
        <v>12</v>
      </c>
      <c r="L130" s="89">
        <v>6.2</v>
      </c>
      <c r="M130" s="89">
        <v>0.0272970987124464</v>
      </c>
      <c r="N130" s="89">
        <v>100</v>
      </c>
      <c r="O130" s="89">
        <v>350</v>
      </c>
      <c r="P130" s="89">
        <v>30</v>
      </c>
      <c r="Q130" s="89">
        <v>0.76</v>
      </c>
      <c r="R130" s="89" t="s">
        <v>90</v>
      </c>
      <c r="S130" s="89" t="s">
        <v>90</v>
      </c>
      <c r="T130" s="89" t="s">
        <v>90</v>
      </c>
      <c r="U130" s="90" t="s">
        <v>90</v>
      </c>
    </row>
    <row r="131" spans="1:21">
      <c r="A131" s="88">
        <v>130</v>
      </c>
      <c r="B131" s="89">
        <v>25</v>
      </c>
      <c r="C131" s="89">
        <v>2</v>
      </c>
      <c r="D131" s="89" t="s">
        <v>41</v>
      </c>
      <c r="E131" s="89">
        <v>0</v>
      </c>
      <c r="F131" s="89">
        <v>1268</v>
      </c>
      <c r="G131" s="89">
        <v>0</v>
      </c>
      <c r="H131" s="89">
        <v>50</v>
      </c>
      <c r="I131" s="89">
        <v>1</v>
      </c>
      <c r="J131" s="89">
        <v>24</v>
      </c>
      <c r="K131" s="89">
        <v>6</v>
      </c>
      <c r="L131" s="89">
        <v>6.2</v>
      </c>
      <c r="M131" s="89">
        <v>0.030578</v>
      </c>
      <c r="N131" s="89">
        <v>30</v>
      </c>
      <c r="O131" s="89">
        <v>420</v>
      </c>
      <c r="P131" s="89">
        <v>30</v>
      </c>
      <c r="Q131" s="89">
        <v>0.85</v>
      </c>
      <c r="R131" s="89" t="s">
        <v>90</v>
      </c>
      <c r="S131" s="89" t="s">
        <v>90</v>
      </c>
      <c r="T131" s="89" t="s">
        <v>90</v>
      </c>
      <c r="U131" s="90" t="s">
        <v>90</v>
      </c>
    </row>
    <row r="132" spans="1:21">
      <c r="A132" s="88">
        <v>131</v>
      </c>
      <c r="B132" s="89">
        <v>25</v>
      </c>
      <c r="C132" s="89">
        <v>3</v>
      </c>
      <c r="D132" s="89" t="s">
        <v>41</v>
      </c>
      <c r="E132" s="89">
        <v>0</v>
      </c>
      <c r="F132" s="89">
        <v>3866</v>
      </c>
      <c r="G132" s="89">
        <v>0</v>
      </c>
      <c r="H132" s="89">
        <v>30</v>
      </c>
      <c r="I132" s="89">
        <v>7</v>
      </c>
      <c r="J132" s="89">
        <v>2</v>
      </c>
      <c r="K132" s="89">
        <v>1</v>
      </c>
      <c r="L132" s="89">
        <v>9.8</v>
      </c>
      <c r="M132" s="89">
        <v>0.053048</v>
      </c>
      <c r="N132" s="89">
        <v>80</v>
      </c>
      <c r="O132" s="89">
        <v>200</v>
      </c>
      <c r="P132" s="89">
        <v>30</v>
      </c>
      <c r="Q132" s="89">
        <v>0.31</v>
      </c>
      <c r="R132" s="89" t="s">
        <v>90</v>
      </c>
      <c r="S132" s="89" t="s">
        <v>90</v>
      </c>
      <c r="T132" s="89" t="s">
        <v>90</v>
      </c>
      <c r="U132" s="90" t="s">
        <v>90</v>
      </c>
    </row>
    <row r="133" spans="1:21">
      <c r="A133" s="88">
        <v>132</v>
      </c>
      <c r="B133" s="89">
        <v>25</v>
      </c>
      <c r="C133" s="89">
        <v>11</v>
      </c>
      <c r="D133" s="89" t="s">
        <v>41</v>
      </c>
      <c r="E133" s="89">
        <v>0</v>
      </c>
      <c r="F133" s="89">
        <v>300</v>
      </c>
      <c r="G133" s="89">
        <v>0</v>
      </c>
      <c r="H133" s="89">
        <v>0</v>
      </c>
      <c r="I133" s="89">
        <v>100</v>
      </c>
      <c r="J133" s="89">
        <v>0</v>
      </c>
      <c r="K133" s="89">
        <v>0</v>
      </c>
      <c r="L133" s="89">
        <v>6.65</v>
      </c>
      <c r="M133" s="89">
        <v>0</v>
      </c>
      <c r="N133" s="89">
        <v>0</v>
      </c>
      <c r="O133" s="89">
        <v>420</v>
      </c>
      <c r="P133" s="89">
        <v>25</v>
      </c>
      <c r="Q133" s="89">
        <v>0</v>
      </c>
      <c r="R133" s="89" t="s">
        <v>90</v>
      </c>
      <c r="S133" s="89" t="s">
        <v>90</v>
      </c>
      <c r="T133" s="89" t="s">
        <v>90</v>
      </c>
      <c r="U133" s="90" t="s">
        <v>90</v>
      </c>
    </row>
    <row r="134" spans="1:21">
      <c r="A134" s="88">
        <v>133</v>
      </c>
      <c r="B134" s="89">
        <v>25</v>
      </c>
      <c r="C134" s="89">
        <v>12</v>
      </c>
      <c r="D134" s="89" t="s">
        <v>41</v>
      </c>
      <c r="E134" s="89">
        <v>0</v>
      </c>
      <c r="F134" s="89">
        <v>2878.66666666667</v>
      </c>
      <c r="G134" s="89">
        <v>0</v>
      </c>
      <c r="H134" s="89">
        <v>0</v>
      </c>
      <c r="I134" s="89">
        <v>100</v>
      </c>
      <c r="J134" s="89">
        <v>0</v>
      </c>
      <c r="K134" s="89">
        <v>0</v>
      </c>
      <c r="L134" s="89">
        <v>6.3</v>
      </c>
      <c r="M134" s="89">
        <v>0</v>
      </c>
      <c r="N134" s="89">
        <v>0</v>
      </c>
      <c r="O134" s="89">
        <v>420</v>
      </c>
      <c r="P134" s="89">
        <v>25</v>
      </c>
      <c r="Q134" s="89">
        <v>0</v>
      </c>
      <c r="R134" s="89" t="s">
        <v>90</v>
      </c>
      <c r="S134" s="89" t="s">
        <v>90</v>
      </c>
      <c r="T134" s="89" t="s">
        <v>90</v>
      </c>
      <c r="U134" s="90" t="s">
        <v>90</v>
      </c>
    </row>
    <row r="135" spans="1:21">
      <c r="A135" s="88">
        <v>134</v>
      </c>
      <c r="B135" s="89">
        <v>25</v>
      </c>
      <c r="C135" s="89">
        <v>14</v>
      </c>
      <c r="D135" s="89" t="s">
        <v>41</v>
      </c>
      <c r="E135" s="89">
        <v>0</v>
      </c>
      <c r="F135" s="89">
        <v>88.5</v>
      </c>
      <c r="G135" s="89">
        <v>0</v>
      </c>
      <c r="H135" s="89">
        <v>0</v>
      </c>
      <c r="I135" s="89">
        <v>100</v>
      </c>
      <c r="J135" s="89">
        <v>0</v>
      </c>
      <c r="K135" s="89">
        <v>0</v>
      </c>
      <c r="L135" s="89">
        <v>14.6</v>
      </c>
      <c r="M135" s="89">
        <v>0</v>
      </c>
      <c r="N135" s="89">
        <v>0</v>
      </c>
      <c r="O135" s="89">
        <v>520</v>
      </c>
      <c r="P135" s="89">
        <v>25</v>
      </c>
      <c r="Q135" s="89">
        <v>0</v>
      </c>
      <c r="R135" s="89" t="s">
        <v>90</v>
      </c>
      <c r="S135" s="89" t="s">
        <v>90</v>
      </c>
      <c r="T135" s="89" t="s">
        <v>90</v>
      </c>
      <c r="U135" s="90" t="s">
        <v>90</v>
      </c>
    </row>
    <row r="136" spans="1:21">
      <c r="A136" s="88">
        <v>135</v>
      </c>
      <c r="B136" s="89">
        <v>25</v>
      </c>
      <c r="C136" s="89">
        <v>15</v>
      </c>
      <c r="D136" s="89" t="s">
        <v>41</v>
      </c>
      <c r="E136" s="89">
        <v>0</v>
      </c>
      <c r="F136" s="89">
        <v>1314</v>
      </c>
      <c r="G136" s="89">
        <v>0</v>
      </c>
      <c r="H136" s="89">
        <v>0</v>
      </c>
      <c r="I136" s="89">
        <v>100</v>
      </c>
      <c r="J136" s="89">
        <v>0</v>
      </c>
      <c r="K136" s="89">
        <v>0</v>
      </c>
      <c r="L136" s="89">
        <v>43.45</v>
      </c>
      <c r="M136" s="89">
        <v>0</v>
      </c>
      <c r="N136" s="89">
        <v>0</v>
      </c>
      <c r="O136" s="89">
        <v>1400</v>
      </c>
      <c r="P136" s="89">
        <v>25</v>
      </c>
      <c r="Q136" s="89">
        <v>0</v>
      </c>
      <c r="R136" s="89" t="s">
        <v>90</v>
      </c>
      <c r="S136" s="89" t="s">
        <v>90</v>
      </c>
      <c r="T136" s="89" t="s">
        <v>90</v>
      </c>
      <c r="U136" s="90" t="s">
        <v>90</v>
      </c>
    </row>
    <row r="137" spans="1:21">
      <c r="A137" s="88">
        <v>136</v>
      </c>
      <c r="B137" s="89">
        <v>26</v>
      </c>
      <c r="C137" s="89">
        <v>1</v>
      </c>
      <c r="D137" s="89" t="s">
        <v>41</v>
      </c>
      <c r="E137" s="89">
        <v>0</v>
      </c>
      <c r="F137" s="89">
        <v>1320</v>
      </c>
      <c r="G137" s="89">
        <v>0</v>
      </c>
      <c r="H137" s="89">
        <v>35</v>
      </c>
      <c r="I137" s="89">
        <v>3</v>
      </c>
      <c r="J137" s="89">
        <v>48</v>
      </c>
      <c r="K137" s="89">
        <v>12</v>
      </c>
      <c r="L137" s="89">
        <v>6.2</v>
      </c>
      <c r="M137" s="89">
        <v>0.0272970987124464</v>
      </c>
      <c r="N137" s="89">
        <v>100</v>
      </c>
      <c r="O137" s="89">
        <v>350</v>
      </c>
      <c r="P137" s="89">
        <v>30</v>
      </c>
      <c r="Q137" s="89">
        <v>0.76</v>
      </c>
      <c r="R137" s="89" t="s">
        <v>90</v>
      </c>
      <c r="S137" s="89" t="s">
        <v>90</v>
      </c>
      <c r="T137" s="89" t="s">
        <v>90</v>
      </c>
      <c r="U137" s="90" t="s">
        <v>90</v>
      </c>
    </row>
    <row r="138" spans="1:21">
      <c r="A138" s="88">
        <v>137</v>
      </c>
      <c r="B138" s="89">
        <v>26</v>
      </c>
      <c r="C138" s="89">
        <v>2</v>
      </c>
      <c r="D138" s="89" t="s">
        <v>41</v>
      </c>
      <c r="E138" s="89">
        <v>0</v>
      </c>
      <c r="F138" s="89">
        <v>1377</v>
      </c>
      <c r="G138" s="89">
        <v>0</v>
      </c>
      <c r="H138" s="89">
        <v>50</v>
      </c>
      <c r="I138" s="89">
        <v>1</v>
      </c>
      <c r="J138" s="89">
        <v>24</v>
      </c>
      <c r="K138" s="89">
        <v>6</v>
      </c>
      <c r="L138" s="89">
        <v>6.2</v>
      </c>
      <c r="M138" s="89">
        <v>0.030578</v>
      </c>
      <c r="N138" s="89">
        <v>30</v>
      </c>
      <c r="O138" s="89">
        <v>420</v>
      </c>
      <c r="P138" s="89">
        <v>30</v>
      </c>
      <c r="Q138" s="89">
        <v>0.85</v>
      </c>
      <c r="R138" s="89" t="s">
        <v>90</v>
      </c>
      <c r="S138" s="89" t="s">
        <v>90</v>
      </c>
      <c r="T138" s="89" t="s">
        <v>90</v>
      </c>
      <c r="U138" s="90" t="s">
        <v>90</v>
      </c>
    </row>
    <row r="139" spans="1:21">
      <c r="A139" s="88">
        <v>138</v>
      </c>
      <c r="B139" s="89">
        <v>26</v>
      </c>
      <c r="C139" s="89">
        <v>3</v>
      </c>
      <c r="D139" s="89" t="s">
        <v>41</v>
      </c>
      <c r="E139" s="89">
        <v>0</v>
      </c>
      <c r="F139" s="89">
        <v>2637.1</v>
      </c>
      <c r="G139" s="89">
        <v>0</v>
      </c>
      <c r="H139" s="89">
        <v>30</v>
      </c>
      <c r="I139" s="89">
        <v>7</v>
      </c>
      <c r="J139" s="89">
        <v>2</v>
      </c>
      <c r="K139" s="89">
        <v>1</v>
      </c>
      <c r="L139" s="89">
        <v>9.8</v>
      </c>
      <c r="M139" s="89">
        <v>0.053048</v>
      </c>
      <c r="N139" s="89">
        <v>80</v>
      </c>
      <c r="O139" s="89">
        <v>200</v>
      </c>
      <c r="P139" s="89">
        <v>30</v>
      </c>
      <c r="Q139" s="89">
        <v>0.31</v>
      </c>
      <c r="R139" s="89" t="s">
        <v>90</v>
      </c>
      <c r="S139" s="89" t="s">
        <v>90</v>
      </c>
      <c r="T139" s="89" t="s">
        <v>90</v>
      </c>
      <c r="U139" s="90" t="s">
        <v>90</v>
      </c>
    </row>
    <row r="140" spans="1:21">
      <c r="A140" s="88">
        <v>139</v>
      </c>
      <c r="B140" s="89">
        <v>26</v>
      </c>
      <c r="C140" s="89">
        <v>11</v>
      </c>
      <c r="D140" s="89" t="s">
        <v>41</v>
      </c>
      <c r="E140" s="89">
        <v>0</v>
      </c>
      <c r="F140" s="89">
        <v>100</v>
      </c>
      <c r="G140" s="89">
        <v>0</v>
      </c>
      <c r="H140" s="89">
        <v>0</v>
      </c>
      <c r="I140" s="89">
        <v>100</v>
      </c>
      <c r="J140" s="89">
        <v>0</v>
      </c>
      <c r="K140" s="89">
        <v>0</v>
      </c>
      <c r="L140" s="89">
        <v>6.65</v>
      </c>
      <c r="M140" s="89">
        <v>0</v>
      </c>
      <c r="N140" s="89">
        <v>0</v>
      </c>
      <c r="O140" s="89">
        <v>420</v>
      </c>
      <c r="P140" s="89">
        <v>25</v>
      </c>
      <c r="Q140" s="89">
        <v>0</v>
      </c>
      <c r="R140" s="89" t="s">
        <v>90</v>
      </c>
      <c r="S140" s="89" t="s">
        <v>90</v>
      </c>
      <c r="T140" s="89" t="s">
        <v>90</v>
      </c>
      <c r="U140" s="90" t="s">
        <v>90</v>
      </c>
    </row>
    <row r="141" spans="1:21">
      <c r="A141" s="88">
        <v>140</v>
      </c>
      <c r="B141" s="89">
        <v>26</v>
      </c>
      <c r="C141" s="89">
        <v>12</v>
      </c>
      <c r="D141" s="89" t="s">
        <v>41</v>
      </c>
      <c r="E141" s="89">
        <v>0</v>
      </c>
      <c r="F141" s="89">
        <v>1825.76</v>
      </c>
      <c r="G141" s="89">
        <v>0</v>
      </c>
      <c r="H141" s="89">
        <v>0</v>
      </c>
      <c r="I141" s="89">
        <v>100</v>
      </c>
      <c r="J141" s="89">
        <v>0</v>
      </c>
      <c r="K141" s="89">
        <v>0</v>
      </c>
      <c r="L141" s="89">
        <v>6.3</v>
      </c>
      <c r="M141" s="89">
        <v>0</v>
      </c>
      <c r="N141" s="89">
        <v>0</v>
      </c>
      <c r="O141" s="89">
        <v>420</v>
      </c>
      <c r="P141" s="89">
        <v>25</v>
      </c>
      <c r="Q141" s="89">
        <v>0</v>
      </c>
      <c r="R141" s="89" t="s">
        <v>90</v>
      </c>
      <c r="S141" s="89" t="s">
        <v>90</v>
      </c>
      <c r="T141" s="89" t="s">
        <v>90</v>
      </c>
      <c r="U141" s="90" t="s">
        <v>90</v>
      </c>
    </row>
    <row r="142" spans="1:21">
      <c r="A142" s="88">
        <v>141</v>
      </c>
      <c r="B142" s="89">
        <v>27</v>
      </c>
      <c r="C142" s="89">
        <v>2</v>
      </c>
      <c r="D142" s="89" t="s">
        <v>41</v>
      </c>
      <c r="E142" s="89">
        <v>0</v>
      </c>
      <c r="F142" s="89">
        <v>315</v>
      </c>
      <c r="G142" s="89">
        <v>0</v>
      </c>
      <c r="H142" s="89">
        <v>50</v>
      </c>
      <c r="I142" s="89">
        <v>1</v>
      </c>
      <c r="J142" s="89">
        <v>24</v>
      </c>
      <c r="K142" s="89">
        <v>6</v>
      </c>
      <c r="L142" s="89">
        <v>6.2</v>
      </c>
      <c r="M142" s="89">
        <v>0.030578</v>
      </c>
      <c r="N142" s="89">
        <v>30</v>
      </c>
      <c r="O142" s="89">
        <v>420</v>
      </c>
      <c r="P142" s="89">
        <v>30</v>
      </c>
      <c r="Q142" s="89">
        <v>0.85</v>
      </c>
      <c r="R142" s="89" t="s">
        <v>90</v>
      </c>
      <c r="S142" s="89" t="s">
        <v>90</v>
      </c>
      <c r="T142" s="89" t="s">
        <v>90</v>
      </c>
      <c r="U142" s="90" t="s">
        <v>90</v>
      </c>
    </row>
    <row r="143" spans="1:21">
      <c r="A143" s="88">
        <v>142</v>
      </c>
      <c r="B143" s="89">
        <v>27</v>
      </c>
      <c r="C143" s="89">
        <v>3</v>
      </c>
      <c r="D143" s="89" t="s">
        <v>41</v>
      </c>
      <c r="E143" s="89">
        <v>0</v>
      </c>
      <c r="F143" s="89">
        <v>1375.2</v>
      </c>
      <c r="G143" s="89">
        <v>0</v>
      </c>
      <c r="H143" s="89">
        <v>30</v>
      </c>
      <c r="I143" s="89">
        <v>7</v>
      </c>
      <c r="J143" s="89">
        <v>2</v>
      </c>
      <c r="K143" s="89">
        <v>1</v>
      </c>
      <c r="L143" s="89">
        <v>9.8</v>
      </c>
      <c r="M143" s="89">
        <v>0.053048</v>
      </c>
      <c r="N143" s="89">
        <v>80</v>
      </c>
      <c r="O143" s="89">
        <v>200</v>
      </c>
      <c r="P143" s="89">
        <v>30</v>
      </c>
      <c r="Q143" s="89">
        <v>0.31</v>
      </c>
      <c r="R143" s="89" t="s">
        <v>90</v>
      </c>
      <c r="S143" s="89" t="s">
        <v>90</v>
      </c>
      <c r="T143" s="89" t="s">
        <v>90</v>
      </c>
      <c r="U143" s="90" t="s">
        <v>90</v>
      </c>
    </row>
    <row r="144" spans="1:21">
      <c r="A144" s="88">
        <v>143</v>
      </c>
      <c r="B144" s="89">
        <v>27</v>
      </c>
      <c r="C144" s="89">
        <v>4</v>
      </c>
      <c r="D144" s="89" t="s">
        <v>41</v>
      </c>
      <c r="E144" s="89">
        <v>0</v>
      </c>
      <c r="F144" s="89">
        <v>244</v>
      </c>
      <c r="G144" s="89">
        <v>0</v>
      </c>
      <c r="H144" s="89">
        <v>0</v>
      </c>
      <c r="I144" s="89">
        <v>100</v>
      </c>
      <c r="J144" s="89">
        <v>0</v>
      </c>
      <c r="K144" s="89">
        <v>0</v>
      </c>
      <c r="L144" s="89">
        <v>25.93</v>
      </c>
      <c r="M144" s="89">
        <v>0</v>
      </c>
      <c r="N144" s="89">
        <v>0</v>
      </c>
      <c r="O144" s="89">
        <v>1400</v>
      </c>
      <c r="P144" s="89">
        <v>80</v>
      </c>
      <c r="Q144" s="89">
        <v>0</v>
      </c>
      <c r="R144" s="89" t="s">
        <v>90</v>
      </c>
      <c r="S144" s="89" t="s">
        <v>90</v>
      </c>
      <c r="T144" s="89" t="s">
        <v>90</v>
      </c>
      <c r="U144" s="90" t="s">
        <v>90</v>
      </c>
    </row>
    <row r="145" spans="1:21">
      <c r="A145" s="88">
        <v>144</v>
      </c>
      <c r="B145" s="89">
        <v>27</v>
      </c>
      <c r="C145" s="89">
        <v>11</v>
      </c>
      <c r="D145" s="89" t="s">
        <v>41</v>
      </c>
      <c r="E145" s="89">
        <v>0</v>
      </c>
      <c r="F145" s="89">
        <v>265</v>
      </c>
      <c r="G145" s="89">
        <v>0</v>
      </c>
      <c r="H145" s="89">
        <v>0</v>
      </c>
      <c r="I145" s="89">
        <v>100</v>
      </c>
      <c r="J145" s="89">
        <v>0</v>
      </c>
      <c r="K145" s="89">
        <v>0</v>
      </c>
      <c r="L145" s="89">
        <v>6.65</v>
      </c>
      <c r="M145" s="89">
        <v>0</v>
      </c>
      <c r="N145" s="89">
        <v>0</v>
      </c>
      <c r="O145" s="89">
        <v>420</v>
      </c>
      <c r="P145" s="89">
        <v>25</v>
      </c>
      <c r="Q145" s="89">
        <v>0</v>
      </c>
      <c r="R145" s="89" t="s">
        <v>90</v>
      </c>
      <c r="S145" s="89" t="s">
        <v>90</v>
      </c>
      <c r="T145" s="89" t="s">
        <v>90</v>
      </c>
      <c r="U145" s="90" t="s">
        <v>90</v>
      </c>
    </row>
    <row r="146" spans="1:21">
      <c r="A146" s="88">
        <v>145</v>
      </c>
      <c r="B146" s="89">
        <v>27</v>
      </c>
      <c r="C146" s="89">
        <v>12</v>
      </c>
      <c r="D146" s="89" t="s">
        <v>41</v>
      </c>
      <c r="E146" s="89">
        <v>0</v>
      </c>
      <c r="F146" s="89">
        <v>1589.96</v>
      </c>
      <c r="G146" s="89">
        <v>0</v>
      </c>
      <c r="H146" s="89">
        <v>0</v>
      </c>
      <c r="I146" s="89">
        <v>100</v>
      </c>
      <c r="J146" s="89">
        <v>0</v>
      </c>
      <c r="K146" s="89">
        <v>0</v>
      </c>
      <c r="L146" s="89">
        <v>6.3</v>
      </c>
      <c r="M146" s="89">
        <v>0</v>
      </c>
      <c r="N146" s="89">
        <v>0</v>
      </c>
      <c r="O146" s="89">
        <v>420</v>
      </c>
      <c r="P146" s="89">
        <v>25</v>
      </c>
      <c r="Q146" s="89">
        <v>0</v>
      </c>
      <c r="R146" s="89" t="s">
        <v>90</v>
      </c>
      <c r="S146" s="89" t="s">
        <v>90</v>
      </c>
      <c r="T146" s="89" t="s">
        <v>90</v>
      </c>
      <c r="U146" s="90" t="s">
        <v>90</v>
      </c>
    </row>
    <row r="147" spans="1:21">
      <c r="A147" s="88">
        <v>146</v>
      </c>
      <c r="B147" s="89">
        <v>28</v>
      </c>
      <c r="C147" s="89">
        <v>1</v>
      </c>
      <c r="D147" s="89" t="s">
        <v>41</v>
      </c>
      <c r="E147" s="89">
        <v>0</v>
      </c>
      <c r="F147" s="89">
        <v>7100</v>
      </c>
      <c r="G147" s="89">
        <v>0</v>
      </c>
      <c r="H147" s="89">
        <v>35</v>
      </c>
      <c r="I147" s="89">
        <v>3</v>
      </c>
      <c r="J147" s="89">
        <v>48</v>
      </c>
      <c r="K147" s="89">
        <v>12</v>
      </c>
      <c r="L147" s="89">
        <v>6.2</v>
      </c>
      <c r="M147" s="89">
        <v>0.0272970987124464</v>
      </c>
      <c r="N147" s="89">
        <v>100</v>
      </c>
      <c r="O147" s="89">
        <v>350</v>
      </c>
      <c r="P147" s="89">
        <v>30</v>
      </c>
      <c r="Q147" s="89">
        <v>0.76</v>
      </c>
      <c r="R147" s="89" t="s">
        <v>90</v>
      </c>
      <c r="S147" s="89" t="s">
        <v>90</v>
      </c>
      <c r="T147" s="89" t="s">
        <v>90</v>
      </c>
      <c r="U147" s="90" t="s">
        <v>90</v>
      </c>
    </row>
    <row r="148" spans="1:21">
      <c r="A148" s="88">
        <v>147</v>
      </c>
      <c r="B148" s="89">
        <v>28</v>
      </c>
      <c r="C148" s="89">
        <v>2</v>
      </c>
      <c r="D148" s="89" t="s">
        <v>41</v>
      </c>
      <c r="E148" s="89">
        <v>0</v>
      </c>
      <c r="F148" s="89">
        <v>1362.5</v>
      </c>
      <c r="G148" s="89">
        <v>0</v>
      </c>
      <c r="H148" s="89">
        <v>50</v>
      </c>
      <c r="I148" s="89">
        <v>1</v>
      </c>
      <c r="J148" s="89">
        <v>24</v>
      </c>
      <c r="K148" s="89">
        <v>6</v>
      </c>
      <c r="L148" s="89">
        <v>6.2</v>
      </c>
      <c r="M148" s="89">
        <v>0.030578</v>
      </c>
      <c r="N148" s="89">
        <v>30</v>
      </c>
      <c r="O148" s="89">
        <v>420</v>
      </c>
      <c r="P148" s="89">
        <v>30</v>
      </c>
      <c r="Q148" s="89">
        <v>0.85</v>
      </c>
      <c r="R148" s="89" t="s">
        <v>90</v>
      </c>
      <c r="S148" s="89" t="s">
        <v>90</v>
      </c>
      <c r="T148" s="89" t="s">
        <v>90</v>
      </c>
      <c r="U148" s="90" t="s">
        <v>90</v>
      </c>
    </row>
    <row r="149" spans="1:21">
      <c r="A149" s="88">
        <v>148</v>
      </c>
      <c r="B149" s="89">
        <v>28</v>
      </c>
      <c r="C149" s="89">
        <v>5</v>
      </c>
      <c r="D149" s="89" t="s">
        <v>41</v>
      </c>
      <c r="E149" s="89">
        <v>0</v>
      </c>
      <c r="F149" s="89">
        <v>2532</v>
      </c>
      <c r="G149" s="89">
        <v>0</v>
      </c>
      <c r="H149" s="89">
        <v>70</v>
      </c>
      <c r="I149" s="89">
        <v>0</v>
      </c>
      <c r="J149" s="89">
        <v>48</v>
      </c>
      <c r="K149" s="89">
        <v>12</v>
      </c>
      <c r="L149" s="89">
        <v>55.64</v>
      </c>
      <c r="M149" s="89">
        <v>0.004784</v>
      </c>
      <c r="N149" s="89">
        <v>120</v>
      </c>
      <c r="O149" s="89">
        <v>1750</v>
      </c>
      <c r="P149" s="89">
        <v>60</v>
      </c>
      <c r="Q149" s="89">
        <v>0</v>
      </c>
      <c r="R149" s="89" t="s">
        <v>90</v>
      </c>
      <c r="S149" s="89" t="s">
        <v>90</v>
      </c>
      <c r="T149" s="89" t="s">
        <v>90</v>
      </c>
      <c r="U149" s="90" t="s">
        <v>90</v>
      </c>
    </row>
    <row r="150" spans="1:21">
      <c r="A150" s="88">
        <v>149</v>
      </c>
      <c r="B150" s="89">
        <v>28</v>
      </c>
      <c r="C150" s="89">
        <v>11</v>
      </c>
      <c r="D150" s="89" t="s">
        <v>41</v>
      </c>
      <c r="E150" s="89">
        <v>0</v>
      </c>
      <c r="F150" s="89">
        <v>342</v>
      </c>
      <c r="G150" s="89">
        <v>0</v>
      </c>
      <c r="H150" s="89">
        <v>0</v>
      </c>
      <c r="I150" s="89">
        <v>100</v>
      </c>
      <c r="J150" s="89">
        <v>0</v>
      </c>
      <c r="K150" s="89">
        <v>0</v>
      </c>
      <c r="L150" s="89">
        <v>6.65</v>
      </c>
      <c r="M150" s="89">
        <v>0</v>
      </c>
      <c r="N150" s="89">
        <v>0</v>
      </c>
      <c r="O150" s="89">
        <v>420</v>
      </c>
      <c r="P150" s="89">
        <v>25</v>
      </c>
      <c r="Q150" s="89">
        <v>0</v>
      </c>
      <c r="R150" s="89" t="s">
        <v>90</v>
      </c>
      <c r="S150" s="89" t="s">
        <v>90</v>
      </c>
      <c r="T150" s="89" t="s">
        <v>90</v>
      </c>
      <c r="U150" s="90" t="s">
        <v>90</v>
      </c>
    </row>
    <row r="151" spans="1:21">
      <c r="A151" s="88">
        <v>150</v>
      </c>
      <c r="B151" s="89">
        <v>28</v>
      </c>
      <c r="C151" s="89">
        <v>12</v>
      </c>
      <c r="D151" s="89" t="s">
        <v>41</v>
      </c>
      <c r="E151" s="89">
        <v>0</v>
      </c>
      <c r="F151" s="89">
        <v>1273.03</v>
      </c>
      <c r="G151" s="89">
        <v>0</v>
      </c>
      <c r="H151" s="89">
        <v>0</v>
      </c>
      <c r="I151" s="89">
        <v>100</v>
      </c>
      <c r="J151" s="89">
        <v>0</v>
      </c>
      <c r="K151" s="89">
        <v>0</v>
      </c>
      <c r="L151" s="89">
        <v>6.3</v>
      </c>
      <c r="M151" s="89">
        <v>0</v>
      </c>
      <c r="N151" s="89">
        <v>0</v>
      </c>
      <c r="O151" s="89">
        <v>420</v>
      </c>
      <c r="P151" s="89">
        <v>25</v>
      </c>
      <c r="Q151" s="89">
        <v>0</v>
      </c>
      <c r="R151" s="89" t="s">
        <v>90</v>
      </c>
      <c r="S151" s="89" t="s">
        <v>90</v>
      </c>
      <c r="T151" s="89" t="s">
        <v>90</v>
      </c>
      <c r="U151" s="90" t="s">
        <v>90</v>
      </c>
    </row>
    <row r="152" spans="1:21">
      <c r="A152" s="88">
        <v>151</v>
      </c>
      <c r="B152" s="89">
        <v>28</v>
      </c>
      <c r="C152" s="89">
        <v>14</v>
      </c>
      <c r="D152" s="89" t="s">
        <v>41</v>
      </c>
      <c r="E152" s="89">
        <v>0</v>
      </c>
      <c r="F152" s="89">
        <v>26</v>
      </c>
      <c r="G152" s="89">
        <v>0</v>
      </c>
      <c r="H152" s="89">
        <v>0</v>
      </c>
      <c r="I152" s="89">
        <v>100</v>
      </c>
      <c r="J152" s="89">
        <v>0</v>
      </c>
      <c r="K152" s="89">
        <v>0</v>
      </c>
      <c r="L152" s="89">
        <v>14.6</v>
      </c>
      <c r="M152" s="89">
        <v>0</v>
      </c>
      <c r="N152" s="89">
        <v>0</v>
      </c>
      <c r="O152" s="89">
        <v>520</v>
      </c>
      <c r="P152" s="89">
        <v>25</v>
      </c>
      <c r="Q152" s="89">
        <v>0</v>
      </c>
      <c r="R152" s="89" t="s">
        <v>90</v>
      </c>
      <c r="S152" s="89" t="s">
        <v>90</v>
      </c>
      <c r="T152" s="89" t="s">
        <v>90</v>
      </c>
      <c r="U152" s="90" t="s">
        <v>90</v>
      </c>
    </row>
    <row r="153" spans="1:21">
      <c r="A153" s="88">
        <v>152</v>
      </c>
      <c r="B153" s="89">
        <v>28</v>
      </c>
      <c r="C153" s="89">
        <v>15</v>
      </c>
      <c r="D153" s="89" t="s">
        <v>41</v>
      </c>
      <c r="E153" s="89">
        <v>0</v>
      </c>
      <c r="F153" s="89">
        <v>1035</v>
      </c>
      <c r="G153" s="89">
        <v>0</v>
      </c>
      <c r="H153" s="89">
        <v>0</v>
      </c>
      <c r="I153" s="89">
        <v>100</v>
      </c>
      <c r="J153" s="89">
        <v>0</v>
      </c>
      <c r="K153" s="89">
        <v>0</v>
      </c>
      <c r="L153" s="89">
        <v>43.45</v>
      </c>
      <c r="M153" s="89">
        <v>0</v>
      </c>
      <c r="N153" s="89">
        <v>0</v>
      </c>
      <c r="O153" s="89">
        <v>1400</v>
      </c>
      <c r="P153" s="89">
        <v>25</v>
      </c>
      <c r="Q153" s="89">
        <v>0</v>
      </c>
      <c r="R153" s="89" t="s">
        <v>90</v>
      </c>
      <c r="S153" s="89" t="s">
        <v>90</v>
      </c>
      <c r="T153" s="89" t="s">
        <v>90</v>
      </c>
      <c r="U153" s="90" t="s">
        <v>90</v>
      </c>
    </row>
    <row r="154" spans="1:21">
      <c r="A154" s="88">
        <v>153</v>
      </c>
      <c r="B154" s="89">
        <v>29</v>
      </c>
      <c r="C154" s="89">
        <v>1</v>
      </c>
      <c r="D154" s="89" t="s">
        <v>53</v>
      </c>
      <c r="E154" s="89">
        <v>0</v>
      </c>
      <c r="F154" s="89">
        <v>5060</v>
      </c>
      <c r="G154" s="89">
        <v>0</v>
      </c>
      <c r="H154" s="89">
        <v>35</v>
      </c>
      <c r="I154" s="89">
        <v>3</v>
      </c>
      <c r="J154" s="89">
        <v>48</v>
      </c>
      <c r="K154" s="89">
        <v>12</v>
      </c>
      <c r="L154" s="89">
        <v>6.2</v>
      </c>
      <c r="M154" s="89">
        <v>0.0253626094420601</v>
      </c>
      <c r="N154" s="89">
        <v>100</v>
      </c>
      <c r="O154" s="89">
        <v>350</v>
      </c>
      <c r="P154" s="89">
        <v>30</v>
      </c>
      <c r="Q154" s="89">
        <v>0.76</v>
      </c>
      <c r="R154" s="89" t="s">
        <v>90</v>
      </c>
      <c r="S154" s="89" t="s">
        <v>90</v>
      </c>
      <c r="T154" s="89" t="s">
        <v>90</v>
      </c>
      <c r="U154" s="90" t="s">
        <v>90</v>
      </c>
    </row>
    <row r="155" spans="1:21">
      <c r="A155" s="88">
        <v>154</v>
      </c>
      <c r="B155" s="89">
        <v>29</v>
      </c>
      <c r="C155" s="89">
        <v>2</v>
      </c>
      <c r="D155" s="89" t="s">
        <v>53</v>
      </c>
      <c r="E155" s="89">
        <v>0</v>
      </c>
      <c r="F155" s="89">
        <v>36</v>
      </c>
      <c r="G155" s="89">
        <v>0</v>
      </c>
      <c r="H155" s="89">
        <v>50</v>
      </c>
      <c r="I155" s="89">
        <v>1</v>
      </c>
      <c r="J155" s="89">
        <v>24</v>
      </c>
      <c r="K155" s="89">
        <v>6</v>
      </c>
      <c r="L155" s="89">
        <v>6.2</v>
      </c>
      <c r="M155" s="89">
        <v>0.028411</v>
      </c>
      <c r="N155" s="89">
        <v>30</v>
      </c>
      <c r="O155" s="89">
        <v>420</v>
      </c>
      <c r="P155" s="89">
        <v>30</v>
      </c>
      <c r="Q155" s="89">
        <v>0.85</v>
      </c>
      <c r="R155" s="89" t="s">
        <v>90</v>
      </c>
      <c r="S155" s="89" t="s">
        <v>90</v>
      </c>
      <c r="T155" s="89" t="s">
        <v>90</v>
      </c>
      <c r="U155" s="90" t="s">
        <v>90</v>
      </c>
    </row>
    <row r="156" spans="1:21">
      <c r="A156" s="88">
        <v>155</v>
      </c>
      <c r="B156" s="89">
        <v>29</v>
      </c>
      <c r="C156" s="89">
        <v>12</v>
      </c>
      <c r="D156" s="89" t="s">
        <v>53</v>
      </c>
      <c r="E156" s="89">
        <v>0</v>
      </c>
      <c r="F156" s="89">
        <v>1143.96666666667</v>
      </c>
      <c r="G156" s="89">
        <v>0</v>
      </c>
      <c r="H156" s="89">
        <v>0</v>
      </c>
      <c r="I156" s="89">
        <v>100</v>
      </c>
      <c r="J156" s="89">
        <v>0</v>
      </c>
      <c r="K156" s="89">
        <v>0</v>
      </c>
      <c r="L156" s="89">
        <v>6.3</v>
      </c>
      <c r="M156" s="89">
        <v>0</v>
      </c>
      <c r="N156" s="89">
        <v>0</v>
      </c>
      <c r="O156" s="89">
        <v>420</v>
      </c>
      <c r="P156" s="89">
        <v>25</v>
      </c>
      <c r="Q156" s="89">
        <v>0</v>
      </c>
      <c r="R156" s="89" t="s">
        <v>90</v>
      </c>
      <c r="S156" s="89" t="s">
        <v>90</v>
      </c>
      <c r="T156" s="89" t="s">
        <v>90</v>
      </c>
      <c r="U156" s="90" t="s">
        <v>90</v>
      </c>
    </row>
    <row r="157" spans="1:21">
      <c r="A157" s="88">
        <v>156</v>
      </c>
      <c r="B157" s="89">
        <v>30</v>
      </c>
      <c r="C157" s="89">
        <v>1</v>
      </c>
      <c r="D157" s="89" t="s">
        <v>53</v>
      </c>
      <c r="E157" s="89">
        <v>0</v>
      </c>
      <c r="F157" s="89">
        <v>20448.75</v>
      </c>
      <c r="G157" s="89">
        <v>0</v>
      </c>
      <c r="H157" s="89">
        <v>35</v>
      </c>
      <c r="I157" s="89">
        <v>3</v>
      </c>
      <c r="J157" s="89">
        <v>48</v>
      </c>
      <c r="K157" s="89">
        <v>12</v>
      </c>
      <c r="L157" s="89">
        <v>6.2</v>
      </c>
      <c r="M157" s="89">
        <v>0.0253626094420601</v>
      </c>
      <c r="N157" s="89">
        <v>100</v>
      </c>
      <c r="O157" s="89">
        <v>350</v>
      </c>
      <c r="P157" s="89">
        <v>30</v>
      </c>
      <c r="Q157" s="89">
        <v>0.76</v>
      </c>
      <c r="R157" s="89" t="s">
        <v>90</v>
      </c>
      <c r="S157" s="89" t="s">
        <v>90</v>
      </c>
      <c r="T157" s="89" t="s">
        <v>90</v>
      </c>
      <c r="U157" s="90" t="s">
        <v>90</v>
      </c>
    </row>
    <row r="158" spans="1:21">
      <c r="A158" s="88">
        <v>157</v>
      </c>
      <c r="B158" s="89">
        <v>30</v>
      </c>
      <c r="C158" s="89">
        <v>2</v>
      </c>
      <c r="D158" s="89" t="s">
        <v>53</v>
      </c>
      <c r="E158" s="89">
        <v>0</v>
      </c>
      <c r="F158" s="89">
        <v>3616.24375</v>
      </c>
      <c r="G158" s="89">
        <v>0</v>
      </c>
      <c r="H158" s="89">
        <v>50</v>
      </c>
      <c r="I158" s="89">
        <v>1</v>
      </c>
      <c r="J158" s="89">
        <v>24</v>
      </c>
      <c r="K158" s="89">
        <v>6</v>
      </c>
      <c r="L158" s="89">
        <v>6.2</v>
      </c>
      <c r="M158" s="89">
        <v>0.028411</v>
      </c>
      <c r="N158" s="89">
        <v>30</v>
      </c>
      <c r="O158" s="89">
        <v>420</v>
      </c>
      <c r="P158" s="89">
        <v>30</v>
      </c>
      <c r="Q158" s="89">
        <v>0.85</v>
      </c>
      <c r="R158" s="89" t="s">
        <v>90</v>
      </c>
      <c r="S158" s="89" t="s">
        <v>90</v>
      </c>
      <c r="T158" s="89" t="s">
        <v>90</v>
      </c>
      <c r="U158" s="90" t="s">
        <v>90</v>
      </c>
    </row>
    <row r="159" spans="1:21">
      <c r="A159" s="88">
        <v>158</v>
      </c>
      <c r="B159" s="89">
        <v>30</v>
      </c>
      <c r="C159" s="89">
        <v>3</v>
      </c>
      <c r="D159" s="89" t="s">
        <v>53</v>
      </c>
      <c r="E159" s="89">
        <v>0</v>
      </c>
      <c r="F159" s="89">
        <v>466.5</v>
      </c>
      <c r="G159" s="89">
        <v>0</v>
      </c>
      <c r="H159" s="89">
        <v>30</v>
      </c>
      <c r="I159" s="89">
        <v>7</v>
      </c>
      <c r="J159" s="89">
        <v>2</v>
      </c>
      <c r="K159" s="89">
        <v>1</v>
      </c>
      <c r="L159" s="89">
        <v>9.8</v>
      </c>
      <c r="M159" s="89">
        <v>0.051012</v>
      </c>
      <c r="N159" s="89">
        <v>80</v>
      </c>
      <c r="O159" s="89">
        <v>200</v>
      </c>
      <c r="P159" s="89">
        <v>30</v>
      </c>
      <c r="Q159" s="89">
        <v>0.31</v>
      </c>
      <c r="R159" s="89" t="s">
        <v>90</v>
      </c>
      <c r="S159" s="89" t="s">
        <v>90</v>
      </c>
      <c r="T159" s="89" t="s">
        <v>90</v>
      </c>
      <c r="U159" s="90" t="s">
        <v>90</v>
      </c>
    </row>
    <row r="160" spans="1:21">
      <c r="A160" s="88">
        <v>159</v>
      </c>
      <c r="B160" s="89">
        <v>30</v>
      </c>
      <c r="C160" s="89">
        <v>11</v>
      </c>
      <c r="D160" s="89" t="s">
        <v>53</v>
      </c>
      <c r="E160" s="89">
        <v>0</v>
      </c>
      <c r="F160" s="89">
        <v>375.32</v>
      </c>
      <c r="G160" s="89">
        <v>0</v>
      </c>
      <c r="H160" s="89">
        <v>0</v>
      </c>
      <c r="I160" s="89">
        <v>100</v>
      </c>
      <c r="J160" s="89">
        <v>0</v>
      </c>
      <c r="K160" s="89">
        <v>0</v>
      </c>
      <c r="L160" s="89">
        <v>6.65</v>
      </c>
      <c r="M160" s="89">
        <v>0</v>
      </c>
      <c r="N160" s="89">
        <v>0</v>
      </c>
      <c r="O160" s="89">
        <v>420</v>
      </c>
      <c r="P160" s="89">
        <v>25</v>
      </c>
      <c r="Q160" s="89">
        <v>0</v>
      </c>
      <c r="R160" s="89" t="s">
        <v>90</v>
      </c>
      <c r="S160" s="89" t="s">
        <v>90</v>
      </c>
      <c r="T160" s="89" t="s">
        <v>90</v>
      </c>
      <c r="U160" s="90" t="s">
        <v>90</v>
      </c>
    </row>
    <row r="161" spans="1:21">
      <c r="A161" s="88">
        <v>160</v>
      </c>
      <c r="B161" s="89">
        <v>30</v>
      </c>
      <c r="C161" s="89">
        <v>12</v>
      </c>
      <c r="D161" s="89" t="s">
        <v>53</v>
      </c>
      <c r="E161" s="89">
        <v>0</v>
      </c>
      <c r="F161" s="89">
        <v>3256.06625</v>
      </c>
      <c r="G161" s="89">
        <v>0</v>
      </c>
      <c r="H161" s="89">
        <v>0</v>
      </c>
      <c r="I161" s="89">
        <v>100</v>
      </c>
      <c r="J161" s="89">
        <v>0</v>
      </c>
      <c r="K161" s="89">
        <v>0</v>
      </c>
      <c r="L161" s="89">
        <v>6.3</v>
      </c>
      <c r="M161" s="89">
        <v>0</v>
      </c>
      <c r="N161" s="89">
        <v>0</v>
      </c>
      <c r="O161" s="89">
        <v>420</v>
      </c>
      <c r="P161" s="89">
        <v>25</v>
      </c>
      <c r="Q161" s="89">
        <v>0</v>
      </c>
      <c r="R161" s="89" t="s">
        <v>90</v>
      </c>
      <c r="S161" s="89" t="s">
        <v>90</v>
      </c>
      <c r="T161" s="89" t="s">
        <v>90</v>
      </c>
      <c r="U161" s="90" t="s">
        <v>90</v>
      </c>
    </row>
    <row r="162" spans="1:21">
      <c r="A162" s="88">
        <v>161</v>
      </c>
      <c r="B162" s="89">
        <v>30</v>
      </c>
      <c r="C162" s="89">
        <v>14</v>
      </c>
      <c r="D162" s="89" t="s">
        <v>53</v>
      </c>
      <c r="E162" s="89">
        <v>0</v>
      </c>
      <c r="F162" s="89">
        <v>535.2125</v>
      </c>
      <c r="G162" s="89">
        <v>0</v>
      </c>
      <c r="H162" s="89">
        <v>0</v>
      </c>
      <c r="I162" s="89">
        <v>100</v>
      </c>
      <c r="J162" s="89">
        <v>0</v>
      </c>
      <c r="K162" s="89">
        <v>0</v>
      </c>
      <c r="L162" s="89">
        <v>14.6</v>
      </c>
      <c r="M162" s="89">
        <v>0</v>
      </c>
      <c r="N162" s="89">
        <v>0</v>
      </c>
      <c r="O162" s="89">
        <v>520</v>
      </c>
      <c r="P162" s="89">
        <v>25</v>
      </c>
      <c r="Q162" s="89">
        <v>0</v>
      </c>
      <c r="R162" s="89" t="s">
        <v>90</v>
      </c>
      <c r="S162" s="89" t="s">
        <v>90</v>
      </c>
      <c r="T162" s="89" t="s">
        <v>90</v>
      </c>
      <c r="U162" s="90" t="s">
        <v>90</v>
      </c>
    </row>
    <row r="163" spans="1:21">
      <c r="A163" s="88">
        <v>162</v>
      </c>
      <c r="B163" s="89">
        <v>31</v>
      </c>
      <c r="C163" s="89">
        <v>1</v>
      </c>
      <c r="D163" s="89" t="s">
        <v>53</v>
      </c>
      <c r="E163" s="89">
        <v>0</v>
      </c>
      <c r="F163" s="89">
        <v>967.5</v>
      </c>
      <c r="G163" s="89">
        <v>0</v>
      </c>
      <c r="H163" s="89">
        <v>35</v>
      </c>
      <c r="I163" s="89">
        <v>3</v>
      </c>
      <c r="J163" s="89">
        <v>48</v>
      </c>
      <c r="K163" s="89">
        <v>12</v>
      </c>
      <c r="L163" s="89">
        <v>6.2</v>
      </c>
      <c r="M163" s="89">
        <v>0.0253626094420601</v>
      </c>
      <c r="N163" s="89">
        <v>100</v>
      </c>
      <c r="O163" s="89">
        <v>350</v>
      </c>
      <c r="P163" s="89">
        <v>30</v>
      </c>
      <c r="Q163" s="89">
        <v>0.76</v>
      </c>
      <c r="R163" s="89" t="s">
        <v>90</v>
      </c>
      <c r="S163" s="89" t="s">
        <v>90</v>
      </c>
      <c r="T163" s="89" t="s">
        <v>90</v>
      </c>
      <c r="U163" s="90" t="s">
        <v>90</v>
      </c>
    </row>
    <row r="164" spans="1:21">
      <c r="A164" s="88">
        <v>163</v>
      </c>
      <c r="B164" s="89">
        <v>31</v>
      </c>
      <c r="C164" s="89">
        <v>4</v>
      </c>
      <c r="D164" s="89" t="s">
        <v>53</v>
      </c>
      <c r="E164" s="89">
        <v>0</v>
      </c>
      <c r="F164" s="89">
        <v>142.5</v>
      </c>
      <c r="G164" s="89">
        <v>0</v>
      </c>
      <c r="H164" s="89">
        <v>0</v>
      </c>
      <c r="I164" s="89">
        <v>100</v>
      </c>
      <c r="J164" s="89">
        <v>0</v>
      </c>
      <c r="K164" s="89">
        <v>0</v>
      </c>
      <c r="L164" s="89">
        <v>25.93</v>
      </c>
      <c r="M164" s="89">
        <v>0</v>
      </c>
      <c r="N164" s="89">
        <v>0</v>
      </c>
      <c r="O164" s="89">
        <v>1400</v>
      </c>
      <c r="P164" s="89">
        <v>80</v>
      </c>
      <c r="Q164" s="89">
        <v>0</v>
      </c>
      <c r="R164" s="89" t="s">
        <v>90</v>
      </c>
      <c r="S164" s="89" t="s">
        <v>90</v>
      </c>
      <c r="T164" s="89" t="s">
        <v>90</v>
      </c>
      <c r="U164" s="90" t="s">
        <v>90</v>
      </c>
    </row>
    <row r="165" spans="1:21">
      <c r="A165" s="88">
        <v>164</v>
      </c>
      <c r="B165" s="89">
        <v>31</v>
      </c>
      <c r="C165" s="89">
        <v>11</v>
      </c>
      <c r="D165" s="89" t="s">
        <v>53</v>
      </c>
      <c r="E165" s="89">
        <v>0</v>
      </c>
      <c r="F165" s="89">
        <v>74.25</v>
      </c>
      <c r="G165" s="89">
        <v>0</v>
      </c>
      <c r="H165" s="89">
        <v>0</v>
      </c>
      <c r="I165" s="89">
        <v>100</v>
      </c>
      <c r="J165" s="89">
        <v>0</v>
      </c>
      <c r="K165" s="89">
        <v>0</v>
      </c>
      <c r="L165" s="89">
        <v>6.65</v>
      </c>
      <c r="M165" s="89">
        <v>0</v>
      </c>
      <c r="N165" s="89">
        <v>0</v>
      </c>
      <c r="O165" s="89">
        <v>420</v>
      </c>
      <c r="P165" s="89">
        <v>25</v>
      </c>
      <c r="Q165" s="89">
        <v>0</v>
      </c>
      <c r="R165" s="89" t="s">
        <v>90</v>
      </c>
      <c r="S165" s="89" t="s">
        <v>90</v>
      </c>
      <c r="T165" s="89" t="s">
        <v>90</v>
      </c>
      <c r="U165" s="90" t="s">
        <v>90</v>
      </c>
    </row>
    <row r="166" spans="1:21">
      <c r="A166" s="88">
        <v>165</v>
      </c>
      <c r="B166" s="89">
        <v>31</v>
      </c>
      <c r="C166" s="89">
        <v>12</v>
      </c>
      <c r="D166" s="89" t="s">
        <v>53</v>
      </c>
      <c r="E166" s="89">
        <v>0</v>
      </c>
      <c r="F166" s="89">
        <v>346.56</v>
      </c>
      <c r="G166" s="89">
        <v>0</v>
      </c>
      <c r="H166" s="89">
        <v>0</v>
      </c>
      <c r="I166" s="89">
        <v>100</v>
      </c>
      <c r="J166" s="89">
        <v>0</v>
      </c>
      <c r="K166" s="89">
        <v>0</v>
      </c>
      <c r="L166" s="89">
        <v>6.3</v>
      </c>
      <c r="M166" s="89">
        <v>0</v>
      </c>
      <c r="N166" s="89">
        <v>0</v>
      </c>
      <c r="O166" s="89">
        <v>420</v>
      </c>
      <c r="P166" s="89">
        <v>25</v>
      </c>
      <c r="Q166" s="89">
        <v>0</v>
      </c>
      <c r="R166" s="89" t="s">
        <v>90</v>
      </c>
      <c r="S166" s="89" t="s">
        <v>90</v>
      </c>
      <c r="T166" s="89" t="s">
        <v>90</v>
      </c>
      <c r="U166" s="90" t="s">
        <v>90</v>
      </c>
    </row>
    <row r="167" spans="1:21">
      <c r="A167" s="88">
        <v>166</v>
      </c>
      <c r="B167" s="89">
        <v>31</v>
      </c>
      <c r="C167" s="89">
        <v>31</v>
      </c>
      <c r="D167" s="89" t="s">
        <v>53</v>
      </c>
      <c r="E167" s="89">
        <v>0</v>
      </c>
      <c r="F167" s="89">
        <v>12000</v>
      </c>
      <c r="G167" s="89">
        <v>0</v>
      </c>
      <c r="H167" s="89">
        <v>0</v>
      </c>
      <c r="I167" s="89">
        <v>0.1</v>
      </c>
      <c r="J167" s="89">
        <v>0</v>
      </c>
      <c r="K167" s="89">
        <v>0</v>
      </c>
      <c r="L167" s="89">
        <v>15.772</v>
      </c>
      <c r="M167" s="89">
        <v>0.0176475</v>
      </c>
      <c r="N167" s="89">
        <v>0</v>
      </c>
      <c r="O167" s="89">
        <v>0</v>
      </c>
      <c r="P167" s="89">
        <v>80</v>
      </c>
      <c r="Q167" s="89">
        <v>0</v>
      </c>
      <c r="R167" s="89" t="s">
        <v>90</v>
      </c>
      <c r="S167" s="89" t="s">
        <v>90</v>
      </c>
      <c r="T167" s="89" t="s">
        <v>90</v>
      </c>
      <c r="U167" s="90" t="s">
        <v>90</v>
      </c>
    </row>
    <row r="168" spans="1:21">
      <c r="A168" s="88">
        <v>167</v>
      </c>
      <c r="B168" s="89">
        <v>32</v>
      </c>
      <c r="C168" s="89">
        <v>1</v>
      </c>
      <c r="D168" s="89" t="s">
        <v>53</v>
      </c>
      <c r="E168" s="89">
        <v>0</v>
      </c>
      <c r="F168" s="89">
        <v>7644.54545454545</v>
      </c>
      <c r="G168" s="89">
        <v>0</v>
      </c>
      <c r="H168" s="89">
        <v>35</v>
      </c>
      <c r="I168" s="89">
        <v>3</v>
      </c>
      <c r="J168" s="89">
        <v>48</v>
      </c>
      <c r="K168" s="89">
        <v>12</v>
      </c>
      <c r="L168" s="89">
        <v>6.2</v>
      </c>
      <c r="M168" s="89">
        <v>0.0253626094420601</v>
      </c>
      <c r="N168" s="89">
        <v>100</v>
      </c>
      <c r="O168" s="89">
        <v>350</v>
      </c>
      <c r="P168" s="89">
        <v>30</v>
      </c>
      <c r="Q168" s="89">
        <v>0.76</v>
      </c>
      <c r="R168" s="89" t="s">
        <v>90</v>
      </c>
      <c r="S168" s="89" t="s">
        <v>90</v>
      </c>
      <c r="T168" s="89" t="s">
        <v>90</v>
      </c>
      <c r="U168" s="90" t="s">
        <v>90</v>
      </c>
    </row>
    <row r="169" spans="1:21">
      <c r="A169" s="88">
        <v>168</v>
      </c>
      <c r="B169" s="89">
        <v>32</v>
      </c>
      <c r="C169" s="89">
        <v>2</v>
      </c>
      <c r="D169" s="89" t="s">
        <v>53</v>
      </c>
      <c r="E169" s="89">
        <v>0</v>
      </c>
      <c r="F169" s="89">
        <v>2121.63636363636</v>
      </c>
      <c r="G169" s="89">
        <v>0</v>
      </c>
      <c r="H169" s="89">
        <v>50</v>
      </c>
      <c r="I169" s="89">
        <v>1</v>
      </c>
      <c r="J169" s="89">
        <v>24</v>
      </c>
      <c r="K169" s="89">
        <v>6</v>
      </c>
      <c r="L169" s="89">
        <v>6.2</v>
      </c>
      <c r="M169" s="89">
        <v>0.028411</v>
      </c>
      <c r="N169" s="89">
        <v>30</v>
      </c>
      <c r="O169" s="89">
        <v>420</v>
      </c>
      <c r="P169" s="89">
        <v>30</v>
      </c>
      <c r="Q169" s="89">
        <v>0.85</v>
      </c>
      <c r="R169" s="89" t="s">
        <v>90</v>
      </c>
      <c r="S169" s="89" t="s">
        <v>90</v>
      </c>
      <c r="T169" s="89" t="s">
        <v>90</v>
      </c>
      <c r="U169" s="90" t="s">
        <v>90</v>
      </c>
    </row>
    <row r="170" spans="1:21">
      <c r="A170" s="88">
        <v>169</v>
      </c>
      <c r="B170" s="89">
        <v>32</v>
      </c>
      <c r="C170" s="89">
        <v>12</v>
      </c>
      <c r="D170" s="89" t="s">
        <v>53</v>
      </c>
      <c r="E170" s="89">
        <v>0</v>
      </c>
      <c r="F170" s="89">
        <v>3447.60772727273</v>
      </c>
      <c r="G170" s="89">
        <v>0</v>
      </c>
      <c r="H170" s="89">
        <v>0</v>
      </c>
      <c r="I170" s="89">
        <v>100</v>
      </c>
      <c r="J170" s="89">
        <v>0</v>
      </c>
      <c r="K170" s="89">
        <v>0</v>
      </c>
      <c r="L170" s="89">
        <v>6.3</v>
      </c>
      <c r="M170" s="89">
        <v>0</v>
      </c>
      <c r="N170" s="89">
        <v>0</v>
      </c>
      <c r="O170" s="89">
        <v>420</v>
      </c>
      <c r="P170" s="89">
        <v>25</v>
      </c>
      <c r="Q170" s="89">
        <v>0</v>
      </c>
      <c r="R170" s="89" t="s">
        <v>90</v>
      </c>
      <c r="S170" s="89" t="s">
        <v>90</v>
      </c>
      <c r="T170" s="89" t="s">
        <v>90</v>
      </c>
      <c r="U170" s="90" t="s">
        <v>90</v>
      </c>
    </row>
    <row r="171" spans="1:21">
      <c r="A171" s="88">
        <v>170</v>
      </c>
      <c r="B171" s="89">
        <v>32</v>
      </c>
      <c r="C171" s="89">
        <v>14</v>
      </c>
      <c r="D171" s="89" t="s">
        <v>53</v>
      </c>
      <c r="E171" s="89">
        <v>0</v>
      </c>
      <c r="F171" s="89">
        <v>566.045454545454</v>
      </c>
      <c r="G171" s="89">
        <v>0</v>
      </c>
      <c r="H171" s="89">
        <v>0</v>
      </c>
      <c r="I171" s="89">
        <v>100</v>
      </c>
      <c r="J171" s="89">
        <v>0</v>
      </c>
      <c r="K171" s="89">
        <v>0</v>
      </c>
      <c r="L171" s="89">
        <v>14.6</v>
      </c>
      <c r="M171" s="89">
        <v>0</v>
      </c>
      <c r="N171" s="89">
        <v>0</v>
      </c>
      <c r="O171" s="89">
        <v>520</v>
      </c>
      <c r="P171" s="89">
        <v>25</v>
      </c>
      <c r="Q171" s="89">
        <v>0</v>
      </c>
      <c r="R171" s="89" t="s">
        <v>90</v>
      </c>
      <c r="S171" s="89" t="s">
        <v>90</v>
      </c>
      <c r="T171" s="89" t="s">
        <v>90</v>
      </c>
      <c r="U171" s="90" t="s">
        <v>90</v>
      </c>
    </row>
    <row r="172" spans="1:21">
      <c r="A172" s="88">
        <v>171</v>
      </c>
      <c r="B172" s="89">
        <v>33</v>
      </c>
      <c r="C172" s="89">
        <v>1</v>
      </c>
      <c r="D172" s="89" t="s">
        <v>53</v>
      </c>
      <c r="E172" s="89">
        <v>0</v>
      </c>
      <c r="F172" s="89">
        <v>13496.7045454545</v>
      </c>
      <c r="G172" s="89">
        <v>0</v>
      </c>
      <c r="H172" s="89">
        <v>35</v>
      </c>
      <c r="I172" s="89">
        <v>3</v>
      </c>
      <c r="J172" s="89">
        <v>48</v>
      </c>
      <c r="K172" s="89">
        <v>12</v>
      </c>
      <c r="L172" s="89">
        <v>6.2</v>
      </c>
      <c r="M172" s="89">
        <v>0.0253626094420601</v>
      </c>
      <c r="N172" s="89">
        <v>100</v>
      </c>
      <c r="O172" s="89">
        <v>350</v>
      </c>
      <c r="P172" s="89">
        <v>30</v>
      </c>
      <c r="Q172" s="89">
        <v>0.76</v>
      </c>
      <c r="R172" s="89" t="s">
        <v>90</v>
      </c>
      <c r="S172" s="89" t="s">
        <v>90</v>
      </c>
      <c r="T172" s="89" t="s">
        <v>90</v>
      </c>
      <c r="U172" s="90" t="s">
        <v>90</v>
      </c>
    </row>
    <row r="173" spans="1:21">
      <c r="A173" s="88">
        <v>172</v>
      </c>
      <c r="B173" s="89">
        <v>33</v>
      </c>
      <c r="C173" s="89">
        <v>2</v>
      </c>
      <c r="D173" s="89" t="s">
        <v>53</v>
      </c>
      <c r="E173" s="89">
        <v>0</v>
      </c>
      <c r="F173" s="89">
        <v>2417.56988636364</v>
      </c>
      <c r="G173" s="89">
        <v>0</v>
      </c>
      <c r="H173" s="89">
        <v>50</v>
      </c>
      <c r="I173" s="89">
        <v>1</v>
      </c>
      <c r="J173" s="89">
        <v>24</v>
      </c>
      <c r="K173" s="89">
        <v>6</v>
      </c>
      <c r="L173" s="89">
        <v>6.2</v>
      </c>
      <c r="M173" s="89">
        <v>0.028411</v>
      </c>
      <c r="N173" s="89">
        <v>30</v>
      </c>
      <c r="O173" s="89">
        <v>420</v>
      </c>
      <c r="P173" s="89">
        <v>30</v>
      </c>
      <c r="Q173" s="89">
        <v>0.85</v>
      </c>
      <c r="R173" s="89" t="s">
        <v>90</v>
      </c>
      <c r="S173" s="89" t="s">
        <v>90</v>
      </c>
      <c r="T173" s="89" t="s">
        <v>90</v>
      </c>
      <c r="U173" s="90" t="s">
        <v>90</v>
      </c>
    </row>
    <row r="174" spans="1:21">
      <c r="A174" s="88">
        <v>173</v>
      </c>
      <c r="B174" s="89">
        <v>33</v>
      </c>
      <c r="C174" s="89">
        <v>3</v>
      </c>
      <c r="D174" s="89" t="s">
        <v>53</v>
      </c>
      <c r="E174" s="89">
        <v>0</v>
      </c>
      <c r="F174" s="89">
        <v>787.5</v>
      </c>
      <c r="G174" s="89">
        <v>0</v>
      </c>
      <c r="H174" s="89">
        <v>30</v>
      </c>
      <c r="I174" s="89">
        <v>7</v>
      </c>
      <c r="J174" s="89">
        <v>2</v>
      </c>
      <c r="K174" s="89">
        <v>1</v>
      </c>
      <c r="L174" s="89">
        <v>9.8</v>
      </c>
      <c r="M174" s="89">
        <v>0.051012</v>
      </c>
      <c r="N174" s="89">
        <v>80</v>
      </c>
      <c r="O174" s="89">
        <v>200</v>
      </c>
      <c r="P174" s="89">
        <v>30</v>
      </c>
      <c r="Q174" s="89">
        <v>0.31</v>
      </c>
      <c r="R174" s="89" t="s">
        <v>90</v>
      </c>
      <c r="S174" s="89" t="s">
        <v>90</v>
      </c>
      <c r="T174" s="89" t="s">
        <v>90</v>
      </c>
      <c r="U174" s="90" t="s">
        <v>90</v>
      </c>
    </row>
    <row r="175" spans="1:21">
      <c r="A175" s="88">
        <v>174</v>
      </c>
      <c r="B175" s="89">
        <v>33</v>
      </c>
      <c r="C175" s="89">
        <v>11</v>
      </c>
      <c r="D175" s="89" t="s">
        <v>53</v>
      </c>
      <c r="E175" s="89">
        <v>0</v>
      </c>
      <c r="F175" s="89">
        <v>175</v>
      </c>
      <c r="G175" s="89">
        <v>0</v>
      </c>
      <c r="H175" s="89">
        <v>0</v>
      </c>
      <c r="I175" s="89">
        <v>100</v>
      </c>
      <c r="J175" s="89">
        <v>0</v>
      </c>
      <c r="K175" s="89">
        <v>0</v>
      </c>
      <c r="L175" s="89">
        <v>6.65</v>
      </c>
      <c r="M175" s="89">
        <v>0</v>
      </c>
      <c r="N175" s="89">
        <v>0</v>
      </c>
      <c r="O175" s="89">
        <v>420</v>
      </c>
      <c r="P175" s="89">
        <v>25</v>
      </c>
      <c r="Q175" s="89">
        <v>0</v>
      </c>
      <c r="R175" s="89" t="s">
        <v>90</v>
      </c>
      <c r="S175" s="89" t="s">
        <v>90</v>
      </c>
      <c r="T175" s="89" t="s">
        <v>90</v>
      </c>
      <c r="U175" s="90" t="s">
        <v>90</v>
      </c>
    </row>
    <row r="176" spans="1:21">
      <c r="A176" s="88">
        <v>175</v>
      </c>
      <c r="B176" s="89">
        <v>33</v>
      </c>
      <c r="C176" s="89">
        <v>12</v>
      </c>
      <c r="D176" s="89" t="s">
        <v>53</v>
      </c>
      <c r="E176" s="89">
        <v>0</v>
      </c>
      <c r="F176" s="89">
        <v>2433.78602272727</v>
      </c>
      <c r="G176" s="89">
        <v>0</v>
      </c>
      <c r="H176" s="89">
        <v>0</v>
      </c>
      <c r="I176" s="89">
        <v>100</v>
      </c>
      <c r="J176" s="89">
        <v>0</v>
      </c>
      <c r="K176" s="89">
        <v>0</v>
      </c>
      <c r="L176" s="89">
        <v>6.3</v>
      </c>
      <c r="M176" s="89">
        <v>0</v>
      </c>
      <c r="N176" s="89">
        <v>0</v>
      </c>
      <c r="O176" s="89">
        <v>420</v>
      </c>
      <c r="P176" s="89">
        <v>25</v>
      </c>
      <c r="Q176" s="89">
        <v>0</v>
      </c>
      <c r="R176" s="89" t="s">
        <v>90</v>
      </c>
      <c r="S176" s="89" t="s">
        <v>90</v>
      </c>
      <c r="T176" s="89" t="s">
        <v>90</v>
      </c>
      <c r="U176" s="90" t="s">
        <v>90</v>
      </c>
    </row>
    <row r="177" spans="1:21">
      <c r="A177" s="88">
        <v>176</v>
      </c>
      <c r="B177" s="89">
        <v>33</v>
      </c>
      <c r="C177" s="89">
        <v>14</v>
      </c>
      <c r="D177" s="89" t="s">
        <v>53</v>
      </c>
      <c r="E177" s="89">
        <v>0</v>
      </c>
      <c r="F177" s="89">
        <v>926.942045454545</v>
      </c>
      <c r="G177" s="89">
        <v>0</v>
      </c>
      <c r="H177" s="89">
        <v>0</v>
      </c>
      <c r="I177" s="89">
        <v>100</v>
      </c>
      <c r="J177" s="89">
        <v>0</v>
      </c>
      <c r="K177" s="89">
        <v>0</v>
      </c>
      <c r="L177" s="89">
        <v>14.6</v>
      </c>
      <c r="M177" s="89">
        <v>0</v>
      </c>
      <c r="N177" s="89">
        <v>0</v>
      </c>
      <c r="O177" s="89">
        <v>520</v>
      </c>
      <c r="P177" s="89">
        <v>25</v>
      </c>
      <c r="Q177" s="89">
        <v>0</v>
      </c>
      <c r="R177" s="89" t="s">
        <v>90</v>
      </c>
      <c r="S177" s="89" t="s">
        <v>90</v>
      </c>
      <c r="T177" s="89" t="s">
        <v>90</v>
      </c>
      <c r="U177" s="90" t="s">
        <v>90</v>
      </c>
    </row>
    <row r="178" spans="1:21">
      <c r="A178" s="88">
        <v>177</v>
      </c>
      <c r="B178" s="89">
        <v>34</v>
      </c>
      <c r="C178" s="89">
        <v>1</v>
      </c>
      <c r="D178" s="89" t="s">
        <v>53</v>
      </c>
      <c r="E178" s="89">
        <v>0</v>
      </c>
      <c r="F178" s="89">
        <v>4170</v>
      </c>
      <c r="G178" s="89">
        <v>0</v>
      </c>
      <c r="H178" s="89">
        <v>35</v>
      </c>
      <c r="I178" s="89">
        <v>3</v>
      </c>
      <c r="J178" s="89">
        <v>48</v>
      </c>
      <c r="K178" s="89">
        <v>12</v>
      </c>
      <c r="L178" s="89">
        <v>6.2</v>
      </c>
      <c r="M178" s="89">
        <v>0.0253626094420601</v>
      </c>
      <c r="N178" s="89">
        <v>100</v>
      </c>
      <c r="O178" s="89">
        <v>350</v>
      </c>
      <c r="P178" s="89">
        <v>30</v>
      </c>
      <c r="Q178" s="89">
        <v>0.76</v>
      </c>
      <c r="R178" s="89" t="s">
        <v>90</v>
      </c>
      <c r="S178" s="89" t="s">
        <v>90</v>
      </c>
      <c r="T178" s="89" t="s">
        <v>90</v>
      </c>
      <c r="U178" s="90" t="s">
        <v>90</v>
      </c>
    </row>
    <row r="179" spans="1:21">
      <c r="A179" s="88">
        <v>178</v>
      </c>
      <c r="B179" s="89">
        <v>34</v>
      </c>
      <c r="C179" s="89">
        <v>2</v>
      </c>
      <c r="D179" s="89" t="s">
        <v>53</v>
      </c>
      <c r="E179" s="89">
        <v>0</v>
      </c>
      <c r="F179" s="89">
        <v>557.6</v>
      </c>
      <c r="G179" s="89">
        <v>0</v>
      </c>
      <c r="H179" s="89">
        <v>50</v>
      </c>
      <c r="I179" s="89">
        <v>1</v>
      </c>
      <c r="J179" s="89">
        <v>24</v>
      </c>
      <c r="K179" s="89">
        <v>6</v>
      </c>
      <c r="L179" s="89">
        <v>6.2</v>
      </c>
      <c r="M179" s="89">
        <v>0.028411</v>
      </c>
      <c r="N179" s="89">
        <v>30</v>
      </c>
      <c r="O179" s="89">
        <v>420</v>
      </c>
      <c r="P179" s="89">
        <v>30</v>
      </c>
      <c r="Q179" s="89">
        <v>0.85</v>
      </c>
      <c r="R179" s="89" t="s">
        <v>90</v>
      </c>
      <c r="S179" s="89" t="s">
        <v>90</v>
      </c>
      <c r="T179" s="89" t="s">
        <v>90</v>
      </c>
      <c r="U179" s="90" t="s">
        <v>90</v>
      </c>
    </row>
    <row r="180" spans="1:21">
      <c r="A180" s="88">
        <v>179</v>
      </c>
      <c r="B180" s="89">
        <v>34</v>
      </c>
      <c r="C180" s="89">
        <v>3</v>
      </c>
      <c r="D180" s="89" t="s">
        <v>53</v>
      </c>
      <c r="E180" s="89">
        <v>0</v>
      </c>
      <c r="F180" s="89">
        <v>177</v>
      </c>
      <c r="G180" s="89">
        <v>0</v>
      </c>
      <c r="H180" s="89">
        <v>30</v>
      </c>
      <c r="I180" s="89">
        <v>7</v>
      </c>
      <c r="J180" s="89">
        <v>2</v>
      </c>
      <c r="K180" s="89">
        <v>1</v>
      </c>
      <c r="L180" s="89">
        <v>9.8</v>
      </c>
      <c r="M180" s="89">
        <v>0.051012</v>
      </c>
      <c r="N180" s="89">
        <v>80</v>
      </c>
      <c r="O180" s="89">
        <v>200</v>
      </c>
      <c r="P180" s="89">
        <v>30</v>
      </c>
      <c r="Q180" s="89">
        <v>0.31</v>
      </c>
      <c r="R180" s="89" t="s">
        <v>90</v>
      </c>
      <c r="S180" s="89" t="s">
        <v>90</v>
      </c>
      <c r="T180" s="89" t="s">
        <v>90</v>
      </c>
      <c r="U180" s="90" t="s">
        <v>90</v>
      </c>
    </row>
    <row r="181" spans="1:21">
      <c r="A181" s="88">
        <v>180</v>
      </c>
      <c r="B181" s="89">
        <v>34</v>
      </c>
      <c r="C181" s="89">
        <v>11</v>
      </c>
      <c r="D181" s="89" t="s">
        <v>53</v>
      </c>
      <c r="E181" s="89">
        <v>0</v>
      </c>
      <c r="F181" s="89">
        <v>520</v>
      </c>
      <c r="G181" s="89">
        <v>0</v>
      </c>
      <c r="H181" s="89">
        <v>0</v>
      </c>
      <c r="I181" s="89">
        <v>100</v>
      </c>
      <c r="J181" s="89">
        <v>0</v>
      </c>
      <c r="K181" s="89">
        <v>0</v>
      </c>
      <c r="L181" s="89">
        <v>6.65</v>
      </c>
      <c r="M181" s="89">
        <v>0</v>
      </c>
      <c r="N181" s="89">
        <v>0</v>
      </c>
      <c r="O181" s="89">
        <v>420</v>
      </c>
      <c r="P181" s="89">
        <v>25</v>
      </c>
      <c r="Q181" s="89">
        <v>0</v>
      </c>
      <c r="R181" s="89" t="s">
        <v>90</v>
      </c>
      <c r="S181" s="89" t="s">
        <v>90</v>
      </c>
      <c r="T181" s="89" t="s">
        <v>90</v>
      </c>
      <c r="U181" s="90" t="s">
        <v>90</v>
      </c>
    </row>
    <row r="182" spans="1:21">
      <c r="A182" s="88">
        <v>181</v>
      </c>
      <c r="B182" s="89">
        <v>34</v>
      </c>
      <c r="C182" s="89">
        <v>12</v>
      </c>
      <c r="D182" s="89" t="s">
        <v>53</v>
      </c>
      <c r="E182" s="89">
        <v>0</v>
      </c>
      <c r="F182" s="89">
        <v>434.973333333333</v>
      </c>
      <c r="G182" s="89">
        <v>0</v>
      </c>
      <c r="H182" s="89">
        <v>0</v>
      </c>
      <c r="I182" s="89">
        <v>100</v>
      </c>
      <c r="J182" s="89">
        <v>0</v>
      </c>
      <c r="K182" s="89">
        <v>0</v>
      </c>
      <c r="L182" s="89">
        <v>6.3</v>
      </c>
      <c r="M182" s="89">
        <v>0</v>
      </c>
      <c r="N182" s="89">
        <v>0</v>
      </c>
      <c r="O182" s="89">
        <v>420</v>
      </c>
      <c r="P182" s="89">
        <v>25</v>
      </c>
      <c r="Q182" s="89">
        <v>0</v>
      </c>
      <c r="R182" s="89" t="s">
        <v>90</v>
      </c>
      <c r="S182" s="89" t="s">
        <v>90</v>
      </c>
      <c r="T182" s="89" t="s">
        <v>90</v>
      </c>
      <c r="U182" s="90" t="s">
        <v>90</v>
      </c>
    </row>
    <row r="183" spans="1:21">
      <c r="A183" s="88">
        <v>182</v>
      </c>
      <c r="B183" s="89">
        <v>35</v>
      </c>
      <c r="C183" s="89">
        <v>1</v>
      </c>
      <c r="D183" s="89" t="s">
        <v>53</v>
      </c>
      <c r="E183" s="89">
        <v>0</v>
      </c>
      <c r="F183" s="89">
        <v>7740</v>
      </c>
      <c r="G183" s="89">
        <v>0</v>
      </c>
      <c r="H183" s="89">
        <v>35</v>
      </c>
      <c r="I183" s="89">
        <v>3</v>
      </c>
      <c r="J183" s="89">
        <v>48</v>
      </c>
      <c r="K183" s="89">
        <v>12</v>
      </c>
      <c r="L183" s="89">
        <v>6.2</v>
      </c>
      <c r="M183" s="89">
        <v>0.0253626094420601</v>
      </c>
      <c r="N183" s="89">
        <v>100</v>
      </c>
      <c r="O183" s="89">
        <v>350</v>
      </c>
      <c r="P183" s="89">
        <v>30</v>
      </c>
      <c r="Q183" s="89">
        <v>0.76</v>
      </c>
      <c r="R183" s="89" t="s">
        <v>90</v>
      </c>
      <c r="S183" s="89" t="s">
        <v>90</v>
      </c>
      <c r="T183" s="89" t="s">
        <v>90</v>
      </c>
      <c r="U183" s="90" t="s">
        <v>90</v>
      </c>
    </row>
    <row r="184" spans="1:21">
      <c r="A184" s="88">
        <v>183</v>
      </c>
      <c r="B184" s="89">
        <v>35</v>
      </c>
      <c r="C184" s="89">
        <v>2</v>
      </c>
      <c r="D184" s="89" t="s">
        <v>53</v>
      </c>
      <c r="E184" s="89">
        <v>0</v>
      </c>
      <c r="F184" s="89">
        <v>1874</v>
      </c>
      <c r="G184" s="89">
        <v>0</v>
      </c>
      <c r="H184" s="89">
        <v>50</v>
      </c>
      <c r="I184" s="89">
        <v>1</v>
      </c>
      <c r="J184" s="89">
        <v>24</v>
      </c>
      <c r="K184" s="89">
        <v>6</v>
      </c>
      <c r="L184" s="89">
        <v>6.2</v>
      </c>
      <c r="M184" s="89">
        <v>0.028411</v>
      </c>
      <c r="N184" s="89">
        <v>30</v>
      </c>
      <c r="O184" s="89">
        <v>420</v>
      </c>
      <c r="P184" s="89">
        <v>30</v>
      </c>
      <c r="Q184" s="89">
        <v>0.85</v>
      </c>
      <c r="R184" s="89" t="s">
        <v>90</v>
      </c>
      <c r="S184" s="89" t="s">
        <v>90</v>
      </c>
      <c r="T184" s="89" t="s">
        <v>90</v>
      </c>
      <c r="U184" s="90" t="s">
        <v>90</v>
      </c>
    </row>
    <row r="185" spans="1:21">
      <c r="A185" s="88">
        <v>184</v>
      </c>
      <c r="B185" s="89">
        <v>35</v>
      </c>
      <c r="C185" s="89">
        <v>11</v>
      </c>
      <c r="D185" s="89" t="s">
        <v>53</v>
      </c>
      <c r="E185" s="89">
        <v>0</v>
      </c>
      <c r="F185" s="89">
        <v>130</v>
      </c>
      <c r="G185" s="89">
        <v>0</v>
      </c>
      <c r="H185" s="89">
        <v>0</v>
      </c>
      <c r="I185" s="89">
        <v>100</v>
      </c>
      <c r="J185" s="89">
        <v>0</v>
      </c>
      <c r="K185" s="89">
        <v>0</v>
      </c>
      <c r="L185" s="89">
        <v>6.65</v>
      </c>
      <c r="M185" s="89">
        <v>0</v>
      </c>
      <c r="N185" s="89">
        <v>0</v>
      </c>
      <c r="O185" s="89">
        <v>420</v>
      </c>
      <c r="P185" s="89">
        <v>25</v>
      </c>
      <c r="Q185" s="89">
        <v>0</v>
      </c>
      <c r="R185" s="89" t="s">
        <v>90</v>
      </c>
      <c r="S185" s="89" t="s">
        <v>90</v>
      </c>
      <c r="T185" s="89" t="s">
        <v>90</v>
      </c>
      <c r="U185" s="90" t="s">
        <v>90</v>
      </c>
    </row>
    <row r="186" spans="1:21">
      <c r="A186" s="88">
        <v>185</v>
      </c>
      <c r="B186" s="89">
        <v>35</v>
      </c>
      <c r="C186" s="89">
        <v>12</v>
      </c>
      <c r="D186" s="89" t="s">
        <v>53</v>
      </c>
      <c r="E186" s="89">
        <v>0</v>
      </c>
      <c r="F186" s="89">
        <v>1216.77</v>
      </c>
      <c r="G186" s="89">
        <v>0</v>
      </c>
      <c r="H186" s="89">
        <v>0</v>
      </c>
      <c r="I186" s="89">
        <v>100</v>
      </c>
      <c r="J186" s="89">
        <v>0</v>
      </c>
      <c r="K186" s="89">
        <v>0</v>
      </c>
      <c r="L186" s="89">
        <v>6.3</v>
      </c>
      <c r="M186" s="89">
        <v>0</v>
      </c>
      <c r="N186" s="89">
        <v>0</v>
      </c>
      <c r="O186" s="89">
        <v>420</v>
      </c>
      <c r="P186" s="89">
        <v>25</v>
      </c>
      <c r="Q186" s="89">
        <v>0</v>
      </c>
      <c r="R186" s="89" t="s">
        <v>90</v>
      </c>
      <c r="S186" s="89" t="s">
        <v>90</v>
      </c>
      <c r="T186" s="89" t="s">
        <v>90</v>
      </c>
      <c r="U186" s="90" t="s">
        <v>90</v>
      </c>
    </row>
    <row r="187" spans="1:21">
      <c r="A187" s="88">
        <v>186</v>
      </c>
      <c r="B187" s="89">
        <v>35</v>
      </c>
      <c r="C187" s="89">
        <v>14</v>
      </c>
      <c r="D187" s="89" t="s">
        <v>53</v>
      </c>
      <c r="E187" s="89">
        <v>0</v>
      </c>
      <c r="F187" s="89">
        <v>49.8</v>
      </c>
      <c r="G187" s="89">
        <v>0</v>
      </c>
      <c r="H187" s="89">
        <v>0</v>
      </c>
      <c r="I187" s="89">
        <v>100</v>
      </c>
      <c r="J187" s="89">
        <v>0</v>
      </c>
      <c r="K187" s="89">
        <v>0</v>
      </c>
      <c r="L187" s="89">
        <v>14.6</v>
      </c>
      <c r="M187" s="89">
        <v>0</v>
      </c>
      <c r="N187" s="89">
        <v>0</v>
      </c>
      <c r="O187" s="89">
        <v>520</v>
      </c>
      <c r="P187" s="89">
        <v>25</v>
      </c>
      <c r="Q187" s="89">
        <v>0</v>
      </c>
      <c r="R187" s="89" t="s">
        <v>90</v>
      </c>
      <c r="S187" s="89" t="s">
        <v>90</v>
      </c>
      <c r="T187" s="89" t="s">
        <v>90</v>
      </c>
      <c r="U187" s="90" t="s">
        <v>90</v>
      </c>
    </row>
    <row r="188" spans="1:21">
      <c r="A188" s="88">
        <v>187</v>
      </c>
      <c r="B188" s="89">
        <v>36</v>
      </c>
      <c r="C188" s="89">
        <v>1</v>
      </c>
      <c r="D188" s="89" t="s">
        <v>53</v>
      </c>
      <c r="E188" s="89">
        <v>0</v>
      </c>
      <c r="F188" s="89">
        <v>322.5</v>
      </c>
      <c r="G188" s="89">
        <v>0</v>
      </c>
      <c r="H188" s="89">
        <v>35</v>
      </c>
      <c r="I188" s="89">
        <v>3</v>
      </c>
      <c r="J188" s="89">
        <v>48</v>
      </c>
      <c r="K188" s="89">
        <v>12</v>
      </c>
      <c r="L188" s="89">
        <v>6.2</v>
      </c>
      <c r="M188" s="89">
        <v>0.0253626094420601</v>
      </c>
      <c r="N188" s="89">
        <v>100</v>
      </c>
      <c r="O188" s="89">
        <v>350</v>
      </c>
      <c r="P188" s="89">
        <v>30</v>
      </c>
      <c r="Q188" s="89">
        <v>0.76</v>
      </c>
      <c r="R188" s="89" t="s">
        <v>90</v>
      </c>
      <c r="S188" s="89" t="s">
        <v>90</v>
      </c>
      <c r="T188" s="89" t="s">
        <v>90</v>
      </c>
      <c r="U188" s="90" t="s">
        <v>90</v>
      </c>
    </row>
    <row r="189" spans="1:21">
      <c r="A189" s="88">
        <v>188</v>
      </c>
      <c r="B189" s="89">
        <v>36</v>
      </c>
      <c r="C189" s="89">
        <v>4</v>
      </c>
      <c r="D189" s="89" t="s">
        <v>53</v>
      </c>
      <c r="E189" s="89">
        <v>0</v>
      </c>
      <c r="F189" s="89">
        <v>47.5</v>
      </c>
      <c r="G189" s="89">
        <v>0</v>
      </c>
      <c r="H189" s="89">
        <v>0</v>
      </c>
      <c r="I189" s="89">
        <v>100</v>
      </c>
      <c r="J189" s="89">
        <v>0</v>
      </c>
      <c r="K189" s="89">
        <v>0</v>
      </c>
      <c r="L189" s="89">
        <v>25.93</v>
      </c>
      <c r="M189" s="89">
        <v>0</v>
      </c>
      <c r="N189" s="89">
        <v>0</v>
      </c>
      <c r="O189" s="89">
        <v>1400</v>
      </c>
      <c r="P189" s="89">
        <v>80</v>
      </c>
      <c r="Q189" s="89">
        <v>0</v>
      </c>
      <c r="R189" s="89" t="s">
        <v>90</v>
      </c>
      <c r="S189" s="89" t="s">
        <v>90</v>
      </c>
      <c r="T189" s="89" t="s">
        <v>90</v>
      </c>
      <c r="U189" s="90" t="s">
        <v>90</v>
      </c>
    </row>
    <row r="190" spans="1:21">
      <c r="A190" s="88">
        <v>189</v>
      </c>
      <c r="B190" s="89">
        <v>36</v>
      </c>
      <c r="C190" s="89">
        <v>11</v>
      </c>
      <c r="D190" s="89" t="s">
        <v>53</v>
      </c>
      <c r="E190" s="89">
        <v>0</v>
      </c>
      <c r="F190" s="89">
        <v>24.75</v>
      </c>
      <c r="G190" s="89">
        <v>0</v>
      </c>
      <c r="H190" s="89">
        <v>0</v>
      </c>
      <c r="I190" s="89">
        <v>100</v>
      </c>
      <c r="J190" s="89">
        <v>0</v>
      </c>
      <c r="K190" s="89">
        <v>0</v>
      </c>
      <c r="L190" s="89">
        <v>6.65</v>
      </c>
      <c r="M190" s="89">
        <v>0</v>
      </c>
      <c r="N190" s="89">
        <v>0</v>
      </c>
      <c r="O190" s="89">
        <v>420</v>
      </c>
      <c r="P190" s="89">
        <v>25</v>
      </c>
      <c r="Q190" s="89">
        <v>0</v>
      </c>
      <c r="R190" s="89" t="s">
        <v>90</v>
      </c>
      <c r="S190" s="89" t="s">
        <v>90</v>
      </c>
      <c r="T190" s="89" t="s">
        <v>90</v>
      </c>
      <c r="U190" s="90" t="s">
        <v>90</v>
      </c>
    </row>
    <row r="191" spans="1:21">
      <c r="A191" s="88">
        <v>190</v>
      </c>
      <c r="B191" s="89">
        <v>36</v>
      </c>
      <c r="C191" s="89">
        <v>12</v>
      </c>
      <c r="D191" s="89" t="s">
        <v>53</v>
      </c>
      <c r="E191" s="89">
        <v>0</v>
      </c>
      <c r="F191" s="89">
        <v>115.52</v>
      </c>
      <c r="G191" s="89">
        <v>0</v>
      </c>
      <c r="H191" s="89">
        <v>0</v>
      </c>
      <c r="I191" s="89">
        <v>100</v>
      </c>
      <c r="J191" s="89">
        <v>0</v>
      </c>
      <c r="K191" s="89">
        <v>0</v>
      </c>
      <c r="L191" s="89">
        <v>6.3</v>
      </c>
      <c r="M191" s="89">
        <v>0</v>
      </c>
      <c r="N191" s="89">
        <v>0</v>
      </c>
      <c r="O191" s="89">
        <v>420</v>
      </c>
      <c r="P191" s="89">
        <v>25</v>
      </c>
      <c r="Q191" s="89">
        <v>0</v>
      </c>
      <c r="R191" s="89" t="s">
        <v>90</v>
      </c>
      <c r="S191" s="89" t="s">
        <v>90</v>
      </c>
      <c r="T191" s="89" t="s">
        <v>90</v>
      </c>
      <c r="U191" s="90" t="s">
        <v>90</v>
      </c>
    </row>
    <row r="192" spans="1:21">
      <c r="A192" s="88">
        <v>191</v>
      </c>
      <c r="B192" s="89">
        <v>37</v>
      </c>
      <c r="C192" s="89">
        <v>2</v>
      </c>
      <c r="D192" s="89" t="s">
        <v>62</v>
      </c>
      <c r="E192" s="89">
        <v>0</v>
      </c>
      <c r="F192" s="89">
        <v>684</v>
      </c>
      <c r="G192" s="89">
        <v>0</v>
      </c>
      <c r="H192" s="89">
        <v>50</v>
      </c>
      <c r="I192" s="89">
        <v>1</v>
      </c>
      <c r="J192" s="89">
        <v>24</v>
      </c>
      <c r="K192" s="89">
        <v>6</v>
      </c>
      <c r="L192" s="89">
        <v>6.2</v>
      </c>
      <c r="M192" s="89">
        <v>0.028834</v>
      </c>
      <c r="N192" s="89">
        <v>30</v>
      </c>
      <c r="O192" s="89">
        <v>420</v>
      </c>
      <c r="P192" s="89">
        <v>30</v>
      </c>
      <c r="Q192" s="89">
        <v>0.85</v>
      </c>
      <c r="R192" s="89" t="s">
        <v>90</v>
      </c>
      <c r="S192" s="89" t="s">
        <v>90</v>
      </c>
      <c r="T192" s="89" t="s">
        <v>90</v>
      </c>
      <c r="U192" s="90" t="s">
        <v>90</v>
      </c>
    </row>
    <row r="193" spans="1:21">
      <c r="A193" s="88">
        <v>192</v>
      </c>
      <c r="B193" s="89">
        <v>37</v>
      </c>
      <c r="C193" s="89">
        <v>4</v>
      </c>
      <c r="D193" s="89" t="s">
        <v>62</v>
      </c>
      <c r="E193" s="89">
        <v>0</v>
      </c>
      <c r="F193" s="89">
        <v>180</v>
      </c>
      <c r="G193" s="89">
        <v>0</v>
      </c>
      <c r="H193" s="89">
        <v>0</v>
      </c>
      <c r="I193" s="89">
        <v>100</v>
      </c>
      <c r="J193" s="89">
        <v>0</v>
      </c>
      <c r="K193" s="89">
        <v>0</v>
      </c>
      <c r="L193" s="89">
        <v>25.93</v>
      </c>
      <c r="M193" s="89">
        <v>0</v>
      </c>
      <c r="N193" s="89">
        <v>0</v>
      </c>
      <c r="O193" s="89">
        <v>1400</v>
      </c>
      <c r="P193" s="89">
        <v>80</v>
      </c>
      <c r="Q193" s="89">
        <v>0</v>
      </c>
      <c r="R193" s="89" t="s">
        <v>90</v>
      </c>
      <c r="S193" s="89" t="s">
        <v>90</v>
      </c>
      <c r="T193" s="89" t="s">
        <v>90</v>
      </c>
      <c r="U193" s="90" t="s">
        <v>90</v>
      </c>
    </row>
    <row r="194" spans="1:21">
      <c r="A194" s="88">
        <v>193</v>
      </c>
      <c r="B194" s="89">
        <v>37</v>
      </c>
      <c r="C194" s="89">
        <v>5</v>
      </c>
      <c r="D194" s="89" t="s">
        <v>62</v>
      </c>
      <c r="E194" s="89">
        <v>0</v>
      </c>
      <c r="F194" s="89">
        <v>2400</v>
      </c>
      <c r="G194" s="89">
        <v>0</v>
      </c>
      <c r="H194" s="89">
        <v>70</v>
      </c>
      <c r="I194" s="89">
        <v>0</v>
      </c>
      <c r="J194" s="89">
        <v>48</v>
      </c>
      <c r="K194" s="89">
        <v>12</v>
      </c>
      <c r="L194" s="89">
        <v>55.64</v>
      </c>
      <c r="M194" s="89">
        <v>0.004784</v>
      </c>
      <c r="N194" s="89">
        <v>120</v>
      </c>
      <c r="O194" s="89">
        <v>1750</v>
      </c>
      <c r="P194" s="89">
        <v>60</v>
      </c>
      <c r="Q194" s="89">
        <v>0</v>
      </c>
      <c r="R194" s="89" t="s">
        <v>90</v>
      </c>
      <c r="S194" s="89" t="s">
        <v>90</v>
      </c>
      <c r="T194" s="89" t="s">
        <v>90</v>
      </c>
      <c r="U194" s="90" t="s">
        <v>90</v>
      </c>
    </row>
    <row r="195" spans="1:21">
      <c r="A195" s="88">
        <v>194</v>
      </c>
      <c r="B195" s="89">
        <v>37</v>
      </c>
      <c r="C195" s="89">
        <v>12</v>
      </c>
      <c r="D195" s="89" t="s">
        <v>62</v>
      </c>
      <c r="E195" s="89">
        <v>0</v>
      </c>
      <c r="F195" s="89">
        <v>854.1</v>
      </c>
      <c r="G195" s="89">
        <v>0</v>
      </c>
      <c r="H195" s="89">
        <v>0</v>
      </c>
      <c r="I195" s="89">
        <v>100</v>
      </c>
      <c r="J195" s="89">
        <v>0</v>
      </c>
      <c r="K195" s="89">
        <v>0</v>
      </c>
      <c r="L195" s="89">
        <v>6.3</v>
      </c>
      <c r="M195" s="89">
        <v>0</v>
      </c>
      <c r="N195" s="89">
        <v>0</v>
      </c>
      <c r="O195" s="89">
        <v>420</v>
      </c>
      <c r="P195" s="89">
        <v>25</v>
      </c>
      <c r="Q195" s="89">
        <v>0</v>
      </c>
      <c r="R195" s="89" t="s">
        <v>90</v>
      </c>
      <c r="S195" s="89" t="s">
        <v>90</v>
      </c>
      <c r="T195" s="89" t="s">
        <v>90</v>
      </c>
      <c r="U195" s="90" t="s">
        <v>90</v>
      </c>
    </row>
    <row r="196" spans="1:21">
      <c r="A196" s="88">
        <v>195</v>
      </c>
      <c r="B196" s="89">
        <v>37</v>
      </c>
      <c r="C196" s="89">
        <v>14</v>
      </c>
      <c r="D196" s="89" t="s">
        <v>62</v>
      </c>
      <c r="E196" s="89">
        <v>0</v>
      </c>
      <c r="F196" s="89">
        <v>321.3</v>
      </c>
      <c r="G196" s="89">
        <v>0</v>
      </c>
      <c r="H196" s="89">
        <v>0</v>
      </c>
      <c r="I196" s="89">
        <v>100</v>
      </c>
      <c r="J196" s="89">
        <v>0</v>
      </c>
      <c r="K196" s="89">
        <v>0</v>
      </c>
      <c r="L196" s="89">
        <v>14.6</v>
      </c>
      <c r="M196" s="89">
        <v>0</v>
      </c>
      <c r="N196" s="89">
        <v>0</v>
      </c>
      <c r="O196" s="89">
        <v>520</v>
      </c>
      <c r="P196" s="89">
        <v>25</v>
      </c>
      <c r="Q196" s="89">
        <v>0</v>
      </c>
      <c r="R196" s="89" t="s">
        <v>90</v>
      </c>
      <c r="S196" s="89" t="s">
        <v>90</v>
      </c>
      <c r="T196" s="89" t="s">
        <v>90</v>
      </c>
      <c r="U196" s="90" t="s">
        <v>90</v>
      </c>
    </row>
    <row r="197" spans="1:21">
      <c r="A197" s="88">
        <v>196</v>
      </c>
      <c r="B197" s="89">
        <v>37</v>
      </c>
      <c r="C197" s="89">
        <v>31</v>
      </c>
      <c r="D197" s="89" t="s">
        <v>62</v>
      </c>
      <c r="E197" s="89">
        <v>0</v>
      </c>
      <c r="F197" s="89">
        <v>2000</v>
      </c>
      <c r="G197" s="89">
        <v>0</v>
      </c>
      <c r="H197" s="89">
        <v>0</v>
      </c>
      <c r="I197" s="89">
        <v>0.1</v>
      </c>
      <c r="J197" s="89">
        <v>0</v>
      </c>
      <c r="K197" s="89">
        <v>0</v>
      </c>
      <c r="L197" s="89">
        <v>15.772</v>
      </c>
      <c r="M197" s="89">
        <v>0.0176475</v>
      </c>
      <c r="N197" s="89">
        <v>0</v>
      </c>
      <c r="O197" s="89">
        <v>0</v>
      </c>
      <c r="P197" s="89">
        <v>80</v>
      </c>
      <c r="Q197" s="89">
        <v>0</v>
      </c>
      <c r="R197" s="89" t="s">
        <v>90</v>
      </c>
      <c r="S197" s="89" t="s">
        <v>90</v>
      </c>
      <c r="T197" s="89" t="s">
        <v>90</v>
      </c>
      <c r="U197" s="90" t="s">
        <v>90</v>
      </c>
    </row>
    <row r="198" spans="1:21">
      <c r="A198" s="88">
        <v>197</v>
      </c>
      <c r="B198" s="89">
        <v>38</v>
      </c>
      <c r="C198" s="89">
        <v>1</v>
      </c>
      <c r="D198" s="89" t="s">
        <v>62</v>
      </c>
      <c r="E198" s="89">
        <v>0</v>
      </c>
      <c r="F198" s="89">
        <v>9740.30769230769</v>
      </c>
      <c r="G198" s="89">
        <v>0</v>
      </c>
      <c r="H198" s="89">
        <v>35</v>
      </c>
      <c r="I198" s="89">
        <v>3</v>
      </c>
      <c r="J198" s="89">
        <v>48</v>
      </c>
      <c r="K198" s="89">
        <v>12</v>
      </c>
      <c r="L198" s="89">
        <v>6.2</v>
      </c>
      <c r="M198" s="89">
        <v>0.0257402231759657</v>
      </c>
      <c r="N198" s="89">
        <v>100</v>
      </c>
      <c r="O198" s="89">
        <v>350</v>
      </c>
      <c r="P198" s="89">
        <v>30</v>
      </c>
      <c r="Q198" s="89">
        <v>0.76</v>
      </c>
      <c r="R198" s="89" t="s">
        <v>90</v>
      </c>
      <c r="S198" s="89" t="s">
        <v>90</v>
      </c>
      <c r="T198" s="89" t="s">
        <v>90</v>
      </c>
      <c r="U198" s="90" t="s">
        <v>90</v>
      </c>
    </row>
    <row r="199" spans="1:21">
      <c r="A199" s="88">
        <v>198</v>
      </c>
      <c r="B199" s="89">
        <v>38</v>
      </c>
      <c r="C199" s="89">
        <v>2</v>
      </c>
      <c r="D199" s="89" t="s">
        <v>62</v>
      </c>
      <c r="E199" s="89">
        <v>0</v>
      </c>
      <c r="F199" s="89">
        <v>1307.92307692308</v>
      </c>
      <c r="G199" s="89">
        <v>0</v>
      </c>
      <c r="H199" s="89">
        <v>50</v>
      </c>
      <c r="I199" s="89">
        <v>1</v>
      </c>
      <c r="J199" s="89">
        <v>24</v>
      </c>
      <c r="K199" s="89">
        <v>6</v>
      </c>
      <c r="L199" s="89">
        <v>6.2</v>
      </c>
      <c r="M199" s="89">
        <v>0.028834</v>
      </c>
      <c r="N199" s="89">
        <v>30</v>
      </c>
      <c r="O199" s="89">
        <v>420</v>
      </c>
      <c r="P199" s="89">
        <v>30</v>
      </c>
      <c r="Q199" s="89">
        <v>0.85</v>
      </c>
      <c r="R199" s="89" t="s">
        <v>90</v>
      </c>
      <c r="S199" s="89" t="s">
        <v>90</v>
      </c>
      <c r="T199" s="89" t="s">
        <v>90</v>
      </c>
      <c r="U199" s="90" t="s">
        <v>90</v>
      </c>
    </row>
    <row r="200" spans="1:21">
      <c r="A200" s="88">
        <v>199</v>
      </c>
      <c r="B200" s="89">
        <v>38</v>
      </c>
      <c r="C200" s="89">
        <v>4</v>
      </c>
      <c r="D200" s="89" t="s">
        <v>62</v>
      </c>
      <c r="E200" s="89">
        <v>0</v>
      </c>
      <c r="F200" s="89">
        <v>1931.92307692308</v>
      </c>
      <c r="G200" s="89">
        <v>0</v>
      </c>
      <c r="H200" s="89">
        <v>0</v>
      </c>
      <c r="I200" s="89">
        <v>100</v>
      </c>
      <c r="J200" s="89">
        <v>0</v>
      </c>
      <c r="K200" s="89">
        <v>0</v>
      </c>
      <c r="L200" s="89">
        <v>25.93</v>
      </c>
      <c r="M200" s="89">
        <v>0</v>
      </c>
      <c r="N200" s="89">
        <v>0</v>
      </c>
      <c r="O200" s="89">
        <v>1400</v>
      </c>
      <c r="P200" s="89">
        <v>80</v>
      </c>
      <c r="Q200" s="89">
        <v>0</v>
      </c>
      <c r="R200" s="89" t="s">
        <v>90</v>
      </c>
      <c r="S200" s="89" t="s">
        <v>90</v>
      </c>
      <c r="T200" s="89" t="s">
        <v>90</v>
      </c>
      <c r="U200" s="90" t="s">
        <v>90</v>
      </c>
    </row>
    <row r="201" spans="1:21">
      <c r="A201" s="88">
        <v>200</v>
      </c>
      <c r="B201" s="89">
        <v>38</v>
      </c>
      <c r="C201" s="89">
        <v>5</v>
      </c>
      <c r="D201" s="89" t="s">
        <v>62</v>
      </c>
      <c r="E201" s="89">
        <v>0</v>
      </c>
      <c r="F201" s="89">
        <v>6656</v>
      </c>
      <c r="G201" s="89">
        <v>0</v>
      </c>
      <c r="H201" s="89">
        <v>70</v>
      </c>
      <c r="I201" s="89">
        <v>0</v>
      </c>
      <c r="J201" s="89">
        <v>48</v>
      </c>
      <c r="K201" s="89">
        <v>12</v>
      </c>
      <c r="L201" s="89">
        <v>55.64</v>
      </c>
      <c r="M201" s="89">
        <v>0.004784</v>
      </c>
      <c r="N201" s="89">
        <v>120</v>
      </c>
      <c r="O201" s="89">
        <v>1750</v>
      </c>
      <c r="P201" s="89">
        <v>60</v>
      </c>
      <c r="Q201" s="89">
        <v>0</v>
      </c>
      <c r="R201" s="89" t="s">
        <v>90</v>
      </c>
      <c r="S201" s="89" t="s">
        <v>90</v>
      </c>
      <c r="T201" s="89" t="s">
        <v>90</v>
      </c>
      <c r="U201" s="90" t="s">
        <v>90</v>
      </c>
    </row>
    <row r="202" spans="1:21">
      <c r="A202" s="88">
        <v>201</v>
      </c>
      <c r="B202" s="89">
        <v>38</v>
      </c>
      <c r="C202" s="89">
        <v>12</v>
      </c>
      <c r="D202" s="89" t="s">
        <v>62</v>
      </c>
      <c r="E202" s="89">
        <v>0</v>
      </c>
      <c r="F202" s="89">
        <v>496.219230769231</v>
      </c>
      <c r="G202" s="89">
        <v>0</v>
      </c>
      <c r="H202" s="89">
        <v>0</v>
      </c>
      <c r="I202" s="89">
        <v>100</v>
      </c>
      <c r="J202" s="89">
        <v>0</v>
      </c>
      <c r="K202" s="89">
        <v>0</v>
      </c>
      <c r="L202" s="89">
        <v>6.3</v>
      </c>
      <c r="M202" s="89">
        <v>0</v>
      </c>
      <c r="N202" s="89">
        <v>0</v>
      </c>
      <c r="O202" s="89">
        <v>420</v>
      </c>
      <c r="P202" s="89">
        <v>25</v>
      </c>
      <c r="Q202" s="89">
        <v>0</v>
      </c>
      <c r="R202" s="89" t="s">
        <v>90</v>
      </c>
      <c r="S202" s="89" t="s">
        <v>90</v>
      </c>
      <c r="T202" s="89" t="s">
        <v>90</v>
      </c>
      <c r="U202" s="90" t="s">
        <v>90</v>
      </c>
    </row>
    <row r="203" spans="1:21">
      <c r="A203" s="88">
        <v>202</v>
      </c>
      <c r="B203" s="89">
        <v>38</v>
      </c>
      <c r="C203" s="89">
        <v>14</v>
      </c>
      <c r="D203" s="89" t="s">
        <v>62</v>
      </c>
      <c r="E203" s="89">
        <v>0</v>
      </c>
      <c r="F203" s="89">
        <v>1062.96615384615</v>
      </c>
      <c r="G203" s="89">
        <v>0</v>
      </c>
      <c r="H203" s="89">
        <v>0</v>
      </c>
      <c r="I203" s="89">
        <v>100</v>
      </c>
      <c r="J203" s="89">
        <v>0</v>
      </c>
      <c r="K203" s="89">
        <v>0</v>
      </c>
      <c r="L203" s="89">
        <v>14.6</v>
      </c>
      <c r="M203" s="89">
        <v>0</v>
      </c>
      <c r="N203" s="89">
        <v>0</v>
      </c>
      <c r="O203" s="89">
        <v>520</v>
      </c>
      <c r="P203" s="89">
        <v>25</v>
      </c>
      <c r="Q203" s="89">
        <v>0</v>
      </c>
      <c r="R203" s="89" t="s">
        <v>90</v>
      </c>
      <c r="S203" s="89" t="s">
        <v>90</v>
      </c>
      <c r="T203" s="89" t="s">
        <v>90</v>
      </c>
      <c r="U203" s="90" t="s">
        <v>90</v>
      </c>
    </row>
    <row r="204" spans="1:21">
      <c r="A204" s="88">
        <v>203</v>
      </c>
      <c r="B204" s="89">
        <v>38</v>
      </c>
      <c r="C204" s="89">
        <v>15</v>
      </c>
      <c r="D204" s="89" t="s">
        <v>62</v>
      </c>
      <c r="E204" s="89">
        <v>0</v>
      </c>
      <c r="F204" s="89">
        <v>800</v>
      </c>
      <c r="G204" s="89">
        <v>0</v>
      </c>
      <c r="H204" s="89">
        <v>0</v>
      </c>
      <c r="I204" s="89">
        <v>100</v>
      </c>
      <c r="J204" s="89">
        <v>0</v>
      </c>
      <c r="K204" s="89">
        <v>0</v>
      </c>
      <c r="L204" s="89">
        <v>43.45</v>
      </c>
      <c r="M204" s="89">
        <v>0</v>
      </c>
      <c r="N204" s="89">
        <v>0</v>
      </c>
      <c r="O204" s="89">
        <v>1400</v>
      </c>
      <c r="P204" s="89">
        <v>25</v>
      </c>
      <c r="Q204" s="89">
        <v>0</v>
      </c>
      <c r="R204" s="89" t="s">
        <v>90</v>
      </c>
      <c r="S204" s="89" t="s">
        <v>90</v>
      </c>
      <c r="T204" s="89" t="s">
        <v>90</v>
      </c>
      <c r="U204" s="90" t="s">
        <v>90</v>
      </c>
    </row>
    <row r="205" spans="1:21">
      <c r="A205" s="88">
        <v>204</v>
      </c>
      <c r="B205" s="89">
        <v>39</v>
      </c>
      <c r="C205" s="89">
        <v>1</v>
      </c>
      <c r="D205" s="89" t="s">
        <v>62</v>
      </c>
      <c r="E205" s="89">
        <v>0</v>
      </c>
      <c r="F205" s="89">
        <v>11560</v>
      </c>
      <c r="G205" s="89">
        <v>0</v>
      </c>
      <c r="H205" s="89">
        <v>35</v>
      </c>
      <c r="I205" s="89">
        <v>3</v>
      </c>
      <c r="J205" s="89">
        <v>48</v>
      </c>
      <c r="K205" s="89">
        <v>12</v>
      </c>
      <c r="L205" s="89">
        <v>6.2</v>
      </c>
      <c r="M205" s="89">
        <v>0.0257402231759657</v>
      </c>
      <c r="N205" s="89">
        <v>100</v>
      </c>
      <c r="O205" s="89">
        <v>350</v>
      </c>
      <c r="P205" s="89">
        <v>30</v>
      </c>
      <c r="Q205" s="89">
        <v>0.76</v>
      </c>
      <c r="R205" s="89" t="s">
        <v>90</v>
      </c>
      <c r="S205" s="89" t="s">
        <v>90</v>
      </c>
      <c r="T205" s="89" t="s">
        <v>90</v>
      </c>
      <c r="U205" s="90" t="s">
        <v>90</v>
      </c>
    </row>
    <row r="206" spans="1:21">
      <c r="A206" s="88">
        <v>205</v>
      </c>
      <c r="B206" s="89">
        <v>39</v>
      </c>
      <c r="C206" s="89">
        <v>2</v>
      </c>
      <c r="D206" s="89" t="s">
        <v>62</v>
      </c>
      <c r="E206" s="89">
        <v>0</v>
      </c>
      <c r="F206" s="89">
        <v>3698.28</v>
      </c>
      <c r="G206" s="89">
        <v>0</v>
      </c>
      <c r="H206" s="89">
        <v>50</v>
      </c>
      <c r="I206" s="89">
        <v>1</v>
      </c>
      <c r="J206" s="89">
        <v>24</v>
      </c>
      <c r="K206" s="89">
        <v>6</v>
      </c>
      <c r="L206" s="89">
        <v>6.2</v>
      </c>
      <c r="M206" s="89">
        <v>0.028834</v>
      </c>
      <c r="N206" s="89">
        <v>30</v>
      </c>
      <c r="O206" s="89">
        <v>420</v>
      </c>
      <c r="P206" s="89">
        <v>30</v>
      </c>
      <c r="Q206" s="89">
        <v>0.85</v>
      </c>
      <c r="R206" s="89" t="s">
        <v>90</v>
      </c>
      <c r="S206" s="89" t="s">
        <v>90</v>
      </c>
      <c r="T206" s="89" t="s">
        <v>90</v>
      </c>
      <c r="U206" s="90" t="s">
        <v>90</v>
      </c>
    </row>
    <row r="207" spans="1:21">
      <c r="A207" s="88">
        <v>206</v>
      </c>
      <c r="B207" s="89">
        <v>39</v>
      </c>
      <c r="C207" s="89">
        <v>3</v>
      </c>
      <c r="D207" s="89" t="s">
        <v>62</v>
      </c>
      <c r="E207" s="89">
        <v>0</v>
      </c>
      <c r="F207" s="89">
        <v>3858</v>
      </c>
      <c r="G207" s="89">
        <v>0</v>
      </c>
      <c r="H207" s="89">
        <v>30</v>
      </c>
      <c r="I207" s="89">
        <v>7</v>
      </c>
      <c r="J207" s="89">
        <v>2</v>
      </c>
      <c r="K207" s="89">
        <v>1</v>
      </c>
      <c r="L207" s="89">
        <v>9.8</v>
      </c>
      <c r="M207" s="89">
        <v>0.053302</v>
      </c>
      <c r="N207" s="89">
        <v>80</v>
      </c>
      <c r="O207" s="89">
        <v>200</v>
      </c>
      <c r="P207" s="89">
        <v>30</v>
      </c>
      <c r="Q207" s="89">
        <v>0.31</v>
      </c>
      <c r="R207" s="89" t="s">
        <v>90</v>
      </c>
      <c r="S207" s="89" t="s">
        <v>90</v>
      </c>
      <c r="T207" s="89" t="s">
        <v>90</v>
      </c>
      <c r="U207" s="90" t="s">
        <v>90</v>
      </c>
    </row>
    <row r="208" spans="1:21">
      <c r="A208" s="88">
        <v>207</v>
      </c>
      <c r="B208" s="89">
        <v>39</v>
      </c>
      <c r="C208" s="89">
        <v>12</v>
      </c>
      <c r="D208" s="89" t="s">
        <v>62</v>
      </c>
      <c r="E208" s="89">
        <v>0</v>
      </c>
      <c r="F208" s="89">
        <v>1147.83</v>
      </c>
      <c r="G208" s="89">
        <v>0</v>
      </c>
      <c r="H208" s="89">
        <v>0</v>
      </c>
      <c r="I208" s="89">
        <v>100</v>
      </c>
      <c r="J208" s="89">
        <v>0</v>
      </c>
      <c r="K208" s="89">
        <v>0</v>
      </c>
      <c r="L208" s="89">
        <v>6.3</v>
      </c>
      <c r="M208" s="89">
        <v>0</v>
      </c>
      <c r="N208" s="89">
        <v>0</v>
      </c>
      <c r="O208" s="89">
        <v>420</v>
      </c>
      <c r="P208" s="89">
        <v>25</v>
      </c>
      <c r="Q208" s="89">
        <v>0</v>
      </c>
      <c r="R208" s="89" t="s">
        <v>90</v>
      </c>
      <c r="S208" s="89" t="s">
        <v>90</v>
      </c>
      <c r="T208" s="89" t="s">
        <v>90</v>
      </c>
      <c r="U208" s="90" t="s">
        <v>90</v>
      </c>
    </row>
    <row r="209" spans="1:21">
      <c r="A209" s="88">
        <v>208</v>
      </c>
      <c r="B209" s="89">
        <v>39</v>
      </c>
      <c r="C209" s="89">
        <v>14</v>
      </c>
      <c r="D209" s="89" t="s">
        <v>62</v>
      </c>
      <c r="E209" s="89">
        <v>0</v>
      </c>
      <c r="F209" s="89">
        <v>1942</v>
      </c>
      <c r="G209" s="89">
        <v>0</v>
      </c>
      <c r="H209" s="89">
        <v>0</v>
      </c>
      <c r="I209" s="89">
        <v>100</v>
      </c>
      <c r="J209" s="89">
        <v>0</v>
      </c>
      <c r="K209" s="89">
        <v>0</v>
      </c>
      <c r="L209" s="89">
        <v>14.6</v>
      </c>
      <c r="M209" s="89">
        <v>0</v>
      </c>
      <c r="N209" s="89">
        <v>0</v>
      </c>
      <c r="O209" s="89">
        <v>520</v>
      </c>
      <c r="P209" s="89">
        <v>25</v>
      </c>
      <c r="Q209" s="89">
        <v>0</v>
      </c>
      <c r="R209" s="89" t="s">
        <v>90</v>
      </c>
      <c r="S209" s="89" t="s">
        <v>90</v>
      </c>
      <c r="T209" s="89" t="s">
        <v>90</v>
      </c>
      <c r="U209" s="90" t="s">
        <v>90</v>
      </c>
    </row>
    <row r="210" spans="1:21">
      <c r="A210" s="88">
        <v>209</v>
      </c>
      <c r="B210" s="89">
        <v>40</v>
      </c>
      <c r="C210" s="89">
        <v>1</v>
      </c>
      <c r="D210" s="89" t="s">
        <v>62</v>
      </c>
      <c r="E210" s="89">
        <v>0</v>
      </c>
      <c r="F210" s="89">
        <v>4347.69230769231</v>
      </c>
      <c r="G210" s="89">
        <v>0</v>
      </c>
      <c r="H210" s="89">
        <v>35</v>
      </c>
      <c r="I210" s="89">
        <v>3</v>
      </c>
      <c r="J210" s="89">
        <v>48</v>
      </c>
      <c r="K210" s="89">
        <v>12</v>
      </c>
      <c r="L210" s="89">
        <v>6.2</v>
      </c>
      <c r="M210" s="89">
        <v>0.0257402231759657</v>
      </c>
      <c r="N210" s="89">
        <v>100</v>
      </c>
      <c r="O210" s="89">
        <v>350</v>
      </c>
      <c r="P210" s="89">
        <v>30</v>
      </c>
      <c r="Q210" s="89">
        <v>0.76</v>
      </c>
      <c r="R210" s="89" t="s">
        <v>90</v>
      </c>
      <c r="S210" s="89" t="s">
        <v>90</v>
      </c>
      <c r="T210" s="89" t="s">
        <v>90</v>
      </c>
      <c r="U210" s="90" t="s">
        <v>90</v>
      </c>
    </row>
    <row r="211" spans="1:21">
      <c r="A211" s="88">
        <v>210</v>
      </c>
      <c r="B211" s="89">
        <v>40</v>
      </c>
      <c r="C211" s="89">
        <v>2</v>
      </c>
      <c r="D211" s="89" t="s">
        <v>62</v>
      </c>
      <c r="E211" s="89">
        <v>0</v>
      </c>
      <c r="F211" s="89">
        <v>1577.07692307692</v>
      </c>
      <c r="G211" s="89">
        <v>0</v>
      </c>
      <c r="H211" s="89">
        <v>50</v>
      </c>
      <c r="I211" s="89">
        <v>1</v>
      </c>
      <c r="J211" s="89">
        <v>24</v>
      </c>
      <c r="K211" s="89">
        <v>6</v>
      </c>
      <c r="L211" s="89">
        <v>6.2</v>
      </c>
      <c r="M211" s="89">
        <v>0.028834</v>
      </c>
      <c r="N211" s="89">
        <v>30</v>
      </c>
      <c r="O211" s="89">
        <v>420</v>
      </c>
      <c r="P211" s="89">
        <v>30</v>
      </c>
      <c r="Q211" s="89">
        <v>0.85</v>
      </c>
      <c r="R211" s="89" t="s">
        <v>90</v>
      </c>
      <c r="S211" s="89" t="s">
        <v>90</v>
      </c>
      <c r="T211" s="89" t="s">
        <v>90</v>
      </c>
      <c r="U211" s="90" t="s">
        <v>90</v>
      </c>
    </row>
    <row r="212" spans="1:21">
      <c r="A212" s="88">
        <v>211</v>
      </c>
      <c r="B212" s="89">
        <v>40</v>
      </c>
      <c r="C212" s="89">
        <v>4</v>
      </c>
      <c r="D212" s="89" t="s">
        <v>62</v>
      </c>
      <c r="E212" s="89">
        <v>0</v>
      </c>
      <c r="F212" s="89">
        <v>1013.07692307692</v>
      </c>
      <c r="G212" s="89">
        <v>0</v>
      </c>
      <c r="H212" s="89">
        <v>0</v>
      </c>
      <c r="I212" s="89">
        <v>100</v>
      </c>
      <c r="J212" s="89">
        <v>0</v>
      </c>
      <c r="K212" s="89">
        <v>0</v>
      </c>
      <c r="L212" s="89">
        <v>25.93</v>
      </c>
      <c r="M212" s="89">
        <v>0</v>
      </c>
      <c r="N212" s="89">
        <v>0</v>
      </c>
      <c r="O212" s="89">
        <v>1400</v>
      </c>
      <c r="P212" s="89">
        <v>80</v>
      </c>
      <c r="Q212" s="89">
        <v>0</v>
      </c>
      <c r="R212" s="89" t="s">
        <v>90</v>
      </c>
      <c r="S212" s="89" t="s">
        <v>90</v>
      </c>
      <c r="T212" s="89" t="s">
        <v>90</v>
      </c>
      <c r="U212" s="90" t="s">
        <v>90</v>
      </c>
    </row>
    <row r="213" spans="1:21">
      <c r="A213" s="88">
        <v>212</v>
      </c>
      <c r="B213" s="89">
        <v>40</v>
      </c>
      <c r="C213" s="89">
        <v>5</v>
      </c>
      <c r="D213" s="89" t="s">
        <v>62</v>
      </c>
      <c r="E213" s="89">
        <v>0</v>
      </c>
      <c r="F213" s="89">
        <v>4956</v>
      </c>
      <c r="G213" s="89">
        <v>0</v>
      </c>
      <c r="H213" s="89">
        <v>70</v>
      </c>
      <c r="I213" s="89">
        <v>0</v>
      </c>
      <c r="J213" s="89">
        <v>48</v>
      </c>
      <c r="K213" s="89">
        <v>12</v>
      </c>
      <c r="L213" s="89">
        <v>55.64</v>
      </c>
      <c r="M213" s="89">
        <v>0.004784</v>
      </c>
      <c r="N213" s="89">
        <v>120</v>
      </c>
      <c r="O213" s="89">
        <v>1750</v>
      </c>
      <c r="P213" s="89">
        <v>60</v>
      </c>
      <c r="Q213" s="89">
        <v>0</v>
      </c>
      <c r="R213" s="89" t="s">
        <v>90</v>
      </c>
      <c r="S213" s="89" t="s">
        <v>90</v>
      </c>
      <c r="T213" s="89" t="s">
        <v>90</v>
      </c>
      <c r="U213" s="90" t="s">
        <v>90</v>
      </c>
    </row>
    <row r="214" spans="1:21">
      <c r="A214" s="88">
        <v>213</v>
      </c>
      <c r="B214" s="89">
        <v>40</v>
      </c>
      <c r="C214" s="89">
        <v>12</v>
      </c>
      <c r="D214" s="89" t="s">
        <v>62</v>
      </c>
      <c r="E214" s="89">
        <v>0</v>
      </c>
      <c r="F214" s="89">
        <v>994.730769230769</v>
      </c>
      <c r="G214" s="89">
        <v>0</v>
      </c>
      <c r="H214" s="89">
        <v>0</v>
      </c>
      <c r="I214" s="89">
        <v>100</v>
      </c>
      <c r="J214" s="89">
        <v>0</v>
      </c>
      <c r="K214" s="89">
        <v>0</v>
      </c>
      <c r="L214" s="89">
        <v>6.3</v>
      </c>
      <c r="M214" s="89">
        <v>0</v>
      </c>
      <c r="N214" s="89">
        <v>0</v>
      </c>
      <c r="O214" s="89">
        <v>420</v>
      </c>
      <c r="P214" s="89">
        <v>25</v>
      </c>
      <c r="Q214" s="89">
        <v>0</v>
      </c>
      <c r="R214" s="89" t="s">
        <v>90</v>
      </c>
      <c r="S214" s="89" t="s">
        <v>90</v>
      </c>
      <c r="T214" s="89" t="s">
        <v>90</v>
      </c>
      <c r="U214" s="90" t="s">
        <v>90</v>
      </c>
    </row>
    <row r="215" ht="14.6" spans="1:21">
      <c r="A215" s="91">
        <v>214</v>
      </c>
      <c r="B215" s="92">
        <v>40</v>
      </c>
      <c r="C215" s="92">
        <v>14</v>
      </c>
      <c r="D215" s="92" t="s">
        <v>62</v>
      </c>
      <c r="E215" s="92">
        <v>0</v>
      </c>
      <c r="F215" s="92">
        <v>1125.31384615385</v>
      </c>
      <c r="G215" s="92">
        <v>0</v>
      </c>
      <c r="H215" s="92">
        <v>0</v>
      </c>
      <c r="I215" s="92">
        <v>100</v>
      </c>
      <c r="J215" s="92">
        <v>0</v>
      </c>
      <c r="K215" s="92">
        <v>0</v>
      </c>
      <c r="L215" s="92">
        <v>14.6</v>
      </c>
      <c r="M215" s="92">
        <v>0</v>
      </c>
      <c r="N215" s="92">
        <v>0</v>
      </c>
      <c r="O215" s="92">
        <v>520</v>
      </c>
      <c r="P215" s="92">
        <v>25</v>
      </c>
      <c r="Q215" s="92">
        <v>0</v>
      </c>
      <c r="R215" s="92" t="s">
        <v>90</v>
      </c>
      <c r="S215" s="92" t="s">
        <v>90</v>
      </c>
      <c r="T215" s="92" t="s">
        <v>90</v>
      </c>
      <c r="U215" s="93" t="s">
        <v>90</v>
      </c>
    </row>
    <row r="216" spans="1:21">
      <c r="A216" s="85">
        <v>215</v>
      </c>
      <c r="B216" s="86">
        <v>1</v>
      </c>
      <c r="C216" s="86">
        <v>3</v>
      </c>
      <c r="D216" s="86" t="s">
        <v>22</v>
      </c>
      <c r="E216" s="86">
        <v>1</v>
      </c>
      <c r="F216" s="86">
        <v>0</v>
      </c>
      <c r="G216" s="86">
        <v>2200</v>
      </c>
      <c r="H216" s="86">
        <v>30</v>
      </c>
      <c r="I216" s="86">
        <v>7</v>
      </c>
      <c r="J216" s="86">
        <v>2</v>
      </c>
      <c r="K216" s="86">
        <v>1</v>
      </c>
      <c r="L216" s="86">
        <v>9.8</v>
      </c>
      <c r="M216" s="86">
        <v>0.053302</v>
      </c>
      <c r="N216" s="86">
        <v>80</v>
      </c>
      <c r="O216" s="86">
        <v>200</v>
      </c>
      <c r="P216" s="86">
        <v>30</v>
      </c>
      <c r="Q216" s="86">
        <v>0.31</v>
      </c>
      <c r="R216" s="86" t="s">
        <v>90</v>
      </c>
      <c r="S216" s="86" t="s">
        <v>90</v>
      </c>
      <c r="T216" s="86" t="s">
        <v>90</v>
      </c>
      <c r="U216" s="87" t="s">
        <v>90</v>
      </c>
    </row>
    <row r="217" spans="1:21">
      <c r="A217" s="88">
        <v>216</v>
      </c>
      <c r="B217" s="89">
        <v>1</v>
      </c>
      <c r="C217" s="89">
        <v>12</v>
      </c>
      <c r="D217" s="89" t="s">
        <v>22</v>
      </c>
      <c r="E217" s="89">
        <v>1</v>
      </c>
      <c r="F217" s="89">
        <v>0</v>
      </c>
      <c r="G217" s="89">
        <v>15719.035064125</v>
      </c>
      <c r="H217" s="89">
        <v>0</v>
      </c>
      <c r="I217" s="89">
        <v>100</v>
      </c>
      <c r="J217" s="89">
        <v>0</v>
      </c>
      <c r="K217" s="89">
        <v>0</v>
      </c>
      <c r="L217" s="89">
        <v>6.3</v>
      </c>
      <c r="M217" s="89">
        <v>0</v>
      </c>
      <c r="N217" s="89">
        <v>0</v>
      </c>
      <c r="O217" s="89">
        <v>420</v>
      </c>
      <c r="P217" s="89">
        <v>25</v>
      </c>
      <c r="Q217" s="89">
        <v>0</v>
      </c>
      <c r="R217" s="89" t="s">
        <v>90</v>
      </c>
      <c r="S217" s="89" t="s">
        <v>90</v>
      </c>
      <c r="T217" s="89" t="s">
        <v>90</v>
      </c>
      <c r="U217" s="90" t="s">
        <v>90</v>
      </c>
    </row>
    <row r="218" spans="1:21">
      <c r="A218" s="88">
        <v>217</v>
      </c>
      <c r="B218" s="89">
        <v>2</v>
      </c>
      <c r="C218" s="89">
        <v>1</v>
      </c>
      <c r="D218" s="89" t="s">
        <v>22</v>
      </c>
      <c r="E218" s="89">
        <v>1</v>
      </c>
      <c r="F218" s="89">
        <v>0</v>
      </c>
      <c r="G218" s="89">
        <v>-1</v>
      </c>
      <c r="H218" s="89">
        <v>35</v>
      </c>
      <c r="I218" s="89">
        <v>3</v>
      </c>
      <c r="J218" s="89">
        <v>48</v>
      </c>
      <c r="K218" s="89">
        <v>12</v>
      </c>
      <c r="L218" s="89">
        <v>6.2</v>
      </c>
      <c r="M218" s="89">
        <v>0.0269462660944206</v>
      </c>
      <c r="N218" s="89">
        <v>100</v>
      </c>
      <c r="O218" s="89">
        <v>350</v>
      </c>
      <c r="P218" s="89">
        <v>30</v>
      </c>
      <c r="Q218" s="89">
        <v>0.76</v>
      </c>
      <c r="R218" s="89" t="s">
        <v>90</v>
      </c>
      <c r="S218" s="89" t="s">
        <v>90</v>
      </c>
      <c r="T218" s="89" t="s">
        <v>90</v>
      </c>
      <c r="U218" s="90" t="s">
        <v>90</v>
      </c>
    </row>
    <row r="219" spans="1:21">
      <c r="A219" s="88">
        <v>218</v>
      </c>
      <c r="B219" s="89">
        <v>2</v>
      </c>
      <c r="C219" s="89">
        <v>2</v>
      </c>
      <c r="D219" s="89" t="s">
        <v>22</v>
      </c>
      <c r="E219" s="89">
        <v>1</v>
      </c>
      <c r="F219" s="89">
        <v>0</v>
      </c>
      <c r="G219" s="89">
        <v>-1</v>
      </c>
      <c r="H219" s="89">
        <v>50</v>
      </c>
      <c r="I219" s="89">
        <v>1</v>
      </c>
      <c r="J219" s="89">
        <v>24</v>
      </c>
      <c r="K219" s="89">
        <v>6</v>
      </c>
      <c r="L219" s="89">
        <v>6.2</v>
      </c>
      <c r="M219" s="89">
        <v>0.030185</v>
      </c>
      <c r="N219" s="89">
        <v>30</v>
      </c>
      <c r="O219" s="89">
        <v>420</v>
      </c>
      <c r="P219" s="89">
        <v>30</v>
      </c>
      <c r="Q219" s="89">
        <v>0.85</v>
      </c>
      <c r="R219" s="89" t="s">
        <v>90</v>
      </c>
      <c r="S219" s="89" t="s">
        <v>90</v>
      </c>
      <c r="T219" s="89" t="s">
        <v>90</v>
      </c>
      <c r="U219" s="90" t="s">
        <v>90</v>
      </c>
    </row>
    <row r="220" spans="1:21">
      <c r="A220" s="88">
        <v>219</v>
      </c>
      <c r="B220" s="89">
        <v>2</v>
      </c>
      <c r="C220" s="89">
        <v>3</v>
      </c>
      <c r="D220" s="89" t="s">
        <v>22</v>
      </c>
      <c r="E220" s="89">
        <v>1</v>
      </c>
      <c r="F220" s="89">
        <v>0</v>
      </c>
      <c r="G220" s="89">
        <v>11000</v>
      </c>
      <c r="H220" s="89">
        <v>30</v>
      </c>
      <c r="I220" s="89">
        <v>7</v>
      </c>
      <c r="J220" s="89">
        <v>2</v>
      </c>
      <c r="K220" s="89">
        <v>1</v>
      </c>
      <c r="L220" s="89">
        <v>9.8</v>
      </c>
      <c r="M220" s="89">
        <v>0.053302</v>
      </c>
      <c r="N220" s="89">
        <v>80</v>
      </c>
      <c r="O220" s="89">
        <v>200</v>
      </c>
      <c r="P220" s="89">
        <v>30</v>
      </c>
      <c r="Q220" s="89">
        <v>0.31</v>
      </c>
      <c r="R220" s="89" t="s">
        <v>90</v>
      </c>
      <c r="S220" s="89" t="s">
        <v>90</v>
      </c>
      <c r="T220" s="89" t="s">
        <v>90</v>
      </c>
      <c r="U220" s="90" t="s">
        <v>90</v>
      </c>
    </row>
    <row r="221" spans="1:21">
      <c r="A221" s="88">
        <v>220</v>
      </c>
      <c r="B221" s="89">
        <v>2</v>
      </c>
      <c r="C221" s="89">
        <v>12</v>
      </c>
      <c r="D221" s="89" t="s">
        <v>22</v>
      </c>
      <c r="E221" s="89">
        <v>1</v>
      </c>
      <c r="F221" s="89">
        <v>0</v>
      </c>
      <c r="G221" s="89">
        <v>19391.4629590135</v>
      </c>
      <c r="H221" s="89">
        <v>0</v>
      </c>
      <c r="I221" s="89">
        <v>100</v>
      </c>
      <c r="J221" s="89">
        <v>0</v>
      </c>
      <c r="K221" s="89">
        <v>0</v>
      </c>
      <c r="L221" s="89">
        <v>6.3</v>
      </c>
      <c r="M221" s="89">
        <v>0</v>
      </c>
      <c r="N221" s="89">
        <v>0</v>
      </c>
      <c r="O221" s="89">
        <v>420</v>
      </c>
      <c r="P221" s="89">
        <v>25</v>
      </c>
      <c r="Q221" s="89">
        <v>0</v>
      </c>
      <c r="R221" s="89" t="s">
        <v>90</v>
      </c>
      <c r="S221" s="89" t="s">
        <v>90</v>
      </c>
      <c r="T221" s="89" t="s">
        <v>90</v>
      </c>
      <c r="U221" s="90" t="s">
        <v>90</v>
      </c>
    </row>
    <row r="222" spans="1:21">
      <c r="A222" s="88">
        <v>221</v>
      </c>
      <c r="B222" s="89">
        <v>2</v>
      </c>
      <c r="C222" s="89">
        <v>15</v>
      </c>
      <c r="D222" s="89" t="s">
        <v>22</v>
      </c>
      <c r="E222" s="89">
        <v>1</v>
      </c>
      <c r="F222" s="89">
        <v>0</v>
      </c>
      <c r="G222" s="89">
        <v>2249.22118380062</v>
      </c>
      <c r="H222" s="89">
        <v>0</v>
      </c>
      <c r="I222" s="89">
        <v>100</v>
      </c>
      <c r="J222" s="89">
        <v>0</v>
      </c>
      <c r="K222" s="89">
        <v>0</v>
      </c>
      <c r="L222" s="89">
        <v>43.45</v>
      </c>
      <c r="M222" s="89">
        <v>0</v>
      </c>
      <c r="N222" s="89">
        <v>0</v>
      </c>
      <c r="O222" s="89">
        <v>1400</v>
      </c>
      <c r="P222" s="89">
        <v>25</v>
      </c>
      <c r="Q222" s="89">
        <v>0</v>
      </c>
      <c r="R222" s="89" t="s">
        <v>90</v>
      </c>
      <c r="S222" s="89" t="s">
        <v>90</v>
      </c>
      <c r="T222" s="89" t="s">
        <v>90</v>
      </c>
      <c r="U222" s="90" t="s">
        <v>90</v>
      </c>
    </row>
    <row r="223" spans="1:21">
      <c r="A223" s="88">
        <v>222</v>
      </c>
      <c r="B223" s="89">
        <v>3</v>
      </c>
      <c r="C223" s="89">
        <v>1</v>
      </c>
      <c r="D223" s="89" t="s">
        <v>22</v>
      </c>
      <c r="E223" s="89">
        <v>1</v>
      </c>
      <c r="F223" s="89">
        <v>0</v>
      </c>
      <c r="G223" s="89">
        <v>-1</v>
      </c>
      <c r="H223" s="89">
        <v>35</v>
      </c>
      <c r="I223" s="89">
        <v>3</v>
      </c>
      <c r="J223" s="89">
        <v>48</v>
      </c>
      <c r="K223" s="89">
        <v>12</v>
      </c>
      <c r="L223" s="89">
        <v>6.2</v>
      </c>
      <c r="M223" s="89">
        <v>0.0269462660944206</v>
      </c>
      <c r="N223" s="89">
        <v>100</v>
      </c>
      <c r="O223" s="89">
        <v>350</v>
      </c>
      <c r="P223" s="89">
        <v>30</v>
      </c>
      <c r="Q223" s="89">
        <v>0.76</v>
      </c>
      <c r="R223" s="89" t="s">
        <v>90</v>
      </c>
      <c r="S223" s="89" t="s">
        <v>90</v>
      </c>
      <c r="T223" s="89" t="s">
        <v>90</v>
      </c>
      <c r="U223" s="90" t="s">
        <v>90</v>
      </c>
    </row>
    <row r="224" spans="1:21">
      <c r="A224" s="88">
        <v>223</v>
      </c>
      <c r="B224" s="89">
        <v>3</v>
      </c>
      <c r="C224" s="89">
        <v>2</v>
      </c>
      <c r="D224" s="89" t="s">
        <v>22</v>
      </c>
      <c r="E224" s="89">
        <v>1</v>
      </c>
      <c r="F224" s="89">
        <v>0</v>
      </c>
      <c r="G224" s="89">
        <v>-1</v>
      </c>
      <c r="H224" s="89">
        <v>50</v>
      </c>
      <c r="I224" s="89">
        <v>1</v>
      </c>
      <c r="J224" s="89">
        <v>24</v>
      </c>
      <c r="K224" s="89">
        <v>6</v>
      </c>
      <c r="L224" s="89">
        <v>6.2</v>
      </c>
      <c r="M224" s="89">
        <v>0.030185</v>
      </c>
      <c r="N224" s="89">
        <v>30</v>
      </c>
      <c r="O224" s="89">
        <v>420</v>
      </c>
      <c r="P224" s="89">
        <v>30</v>
      </c>
      <c r="Q224" s="89">
        <v>0.85</v>
      </c>
      <c r="R224" s="89" t="s">
        <v>90</v>
      </c>
      <c r="S224" s="89" t="s">
        <v>90</v>
      </c>
      <c r="T224" s="89" t="s">
        <v>90</v>
      </c>
      <c r="U224" s="90" t="s">
        <v>90</v>
      </c>
    </row>
    <row r="225" spans="1:21">
      <c r="A225" s="88">
        <v>224</v>
      </c>
      <c r="B225" s="89">
        <v>3</v>
      </c>
      <c r="C225" s="89">
        <v>3</v>
      </c>
      <c r="D225" s="89" t="s">
        <v>22</v>
      </c>
      <c r="E225" s="89">
        <v>1</v>
      </c>
      <c r="F225" s="89">
        <v>0</v>
      </c>
      <c r="G225" s="89">
        <v>11000</v>
      </c>
      <c r="H225" s="89">
        <v>30</v>
      </c>
      <c r="I225" s="89">
        <v>7</v>
      </c>
      <c r="J225" s="89">
        <v>2</v>
      </c>
      <c r="K225" s="89">
        <v>1</v>
      </c>
      <c r="L225" s="89">
        <v>9.8</v>
      </c>
      <c r="M225" s="89">
        <v>0.053302</v>
      </c>
      <c r="N225" s="89">
        <v>80</v>
      </c>
      <c r="O225" s="89">
        <v>200</v>
      </c>
      <c r="P225" s="89">
        <v>30</v>
      </c>
      <c r="Q225" s="89">
        <v>0.31</v>
      </c>
      <c r="R225" s="89" t="s">
        <v>90</v>
      </c>
      <c r="S225" s="89" t="s">
        <v>90</v>
      </c>
      <c r="T225" s="89" t="s">
        <v>90</v>
      </c>
      <c r="U225" s="90" t="s">
        <v>90</v>
      </c>
    </row>
    <row r="226" spans="1:21">
      <c r="A226" s="88">
        <v>225</v>
      </c>
      <c r="B226" s="89">
        <v>3</v>
      </c>
      <c r="C226" s="89">
        <v>12</v>
      </c>
      <c r="D226" s="89" t="s">
        <v>22</v>
      </c>
      <c r="E226" s="89">
        <v>1</v>
      </c>
      <c r="F226" s="89">
        <v>0</v>
      </c>
      <c r="G226" s="89">
        <v>19455.3879916421</v>
      </c>
      <c r="H226" s="89">
        <v>0</v>
      </c>
      <c r="I226" s="89">
        <v>100</v>
      </c>
      <c r="J226" s="89">
        <v>0</v>
      </c>
      <c r="K226" s="89">
        <v>0</v>
      </c>
      <c r="L226" s="89">
        <v>6.3</v>
      </c>
      <c r="M226" s="89">
        <v>0</v>
      </c>
      <c r="N226" s="89">
        <v>0</v>
      </c>
      <c r="O226" s="89">
        <v>420</v>
      </c>
      <c r="P226" s="89">
        <v>25</v>
      </c>
      <c r="Q226" s="89">
        <v>0</v>
      </c>
      <c r="R226" s="89" t="s">
        <v>90</v>
      </c>
      <c r="S226" s="89" t="s">
        <v>90</v>
      </c>
      <c r="T226" s="89" t="s">
        <v>90</v>
      </c>
      <c r="U226" s="90" t="s">
        <v>90</v>
      </c>
    </row>
    <row r="227" spans="1:21">
      <c r="A227" s="88">
        <v>226</v>
      </c>
      <c r="B227" s="89">
        <v>3</v>
      </c>
      <c r="C227" s="89">
        <v>15</v>
      </c>
      <c r="D227" s="89" t="s">
        <v>22</v>
      </c>
      <c r="E227" s="89">
        <v>1</v>
      </c>
      <c r="F227" s="89">
        <v>0</v>
      </c>
      <c r="G227" s="89">
        <v>2750.77881619938</v>
      </c>
      <c r="H227" s="89">
        <v>0</v>
      </c>
      <c r="I227" s="89">
        <v>100</v>
      </c>
      <c r="J227" s="89">
        <v>0</v>
      </c>
      <c r="K227" s="89">
        <v>0</v>
      </c>
      <c r="L227" s="89">
        <v>43.45</v>
      </c>
      <c r="M227" s="89">
        <v>0</v>
      </c>
      <c r="N227" s="89">
        <v>0</v>
      </c>
      <c r="O227" s="89">
        <v>1400</v>
      </c>
      <c r="P227" s="89">
        <v>25</v>
      </c>
      <c r="Q227" s="89">
        <v>0</v>
      </c>
      <c r="R227" s="89" t="s">
        <v>90</v>
      </c>
      <c r="S227" s="89" t="s">
        <v>90</v>
      </c>
      <c r="T227" s="89" t="s">
        <v>90</v>
      </c>
      <c r="U227" s="90" t="s">
        <v>90</v>
      </c>
    </row>
    <row r="228" spans="1:21">
      <c r="A228" s="88">
        <v>227</v>
      </c>
      <c r="B228" s="89">
        <v>4</v>
      </c>
      <c r="C228" s="89">
        <v>1</v>
      </c>
      <c r="D228" s="89" t="s">
        <v>22</v>
      </c>
      <c r="E228" s="89">
        <v>1</v>
      </c>
      <c r="F228" s="89">
        <v>0</v>
      </c>
      <c r="G228" s="89">
        <v>-1</v>
      </c>
      <c r="H228" s="89">
        <v>35</v>
      </c>
      <c r="I228" s="89">
        <v>3</v>
      </c>
      <c r="J228" s="89">
        <v>48</v>
      </c>
      <c r="K228" s="89">
        <v>12</v>
      </c>
      <c r="L228" s="89">
        <v>6.2</v>
      </c>
      <c r="M228" s="89">
        <v>0.0269462660944206</v>
      </c>
      <c r="N228" s="89">
        <v>100</v>
      </c>
      <c r="O228" s="89">
        <v>350</v>
      </c>
      <c r="P228" s="89">
        <v>30</v>
      </c>
      <c r="Q228" s="89">
        <v>0.76</v>
      </c>
      <c r="R228" s="89" t="s">
        <v>90</v>
      </c>
      <c r="S228" s="89" t="s">
        <v>90</v>
      </c>
      <c r="T228" s="89" t="s">
        <v>90</v>
      </c>
      <c r="U228" s="90" t="s">
        <v>90</v>
      </c>
    </row>
    <row r="229" spans="1:21">
      <c r="A229" s="88">
        <v>228</v>
      </c>
      <c r="B229" s="89">
        <v>4</v>
      </c>
      <c r="C229" s="89">
        <v>2</v>
      </c>
      <c r="D229" s="89" t="s">
        <v>22</v>
      </c>
      <c r="E229" s="89">
        <v>1</v>
      </c>
      <c r="F229" s="89">
        <v>0</v>
      </c>
      <c r="G229" s="89">
        <v>-1</v>
      </c>
      <c r="H229" s="89">
        <v>50</v>
      </c>
      <c r="I229" s="89">
        <v>1</v>
      </c>
      <c r="J229" s="89">
        <v>24</v>
      </c>
      <c r="K229" s="89">
        <v>6</v>
      </c>
      <c r="L229" s="89">
        <v>6.2</v>
      </c>
      <c r="M229" s="89">
        <v>0.030185</v>
      </c>
      <c r="N229" s="89">
        <v>30</v>
      </c>
      <c r="O229" s="89">
        <v>420</v>
      </c>
      <c r="P229" s="89">
        <v>30</v>
      </c>
      <c r="Q229" s="89">
        <v>0.85</v>
      </c>
      <c r="R229" s="89" t="s">
        <v>90</v>
      </c>
      <c r="S229" s="89" t="s">
        <v>90</v>
      </c>
      <c r="T229" s="89" t="s">
        <v>90</v>
      </c>
      <c r="U229" s="90" t="s">
        <v>90</v>
      </c>
    </row>
    <row r="230" spans="1:21">
      <c r="A230" s="88">
        <v>229</v>
      </c>
      <c r="B230" s="89">
        <v>4</v>
      </c>
      <c r="C230" s="89">
        <v>3</v>
      </c>
      <c r="D230" s="89" t="s">
        <v>22</v>
      </c>
      <c r="E230" s="89">
        <v>1</v>
      </c>
      <c r="F230" s="89">
        <v>0</v>
      </c>
      <c r="G230" s="89">
        <v>8800</v>
      </c>
      <c r="H230" s="89">
        <v>30</v>
      </c>
      <c r="I230" s="89">
        <v>7</v>
      </c>
      <c r="J230" s="89">
        <v>2</v>
      </c>
      <c r="K230" s="89">
        <v>1</v>
      </c>
      <c r="L230" s="89">
        <v>9.8</v>
      </c>
      <c r="M230" s="89">
        <v>0.053302</v>
      </c>
      <c r="N230" s="89">
        <v>80</v>
      </c>
      <c r="O230" s="89">
        <v>200</v>
      </c>
      <c r="P230" s="89">
        <v>30</v>
      </c>
      <c r="Q230" s="89">
        <v>0.31</v>
      </c>
      <c r="R230" s="89" t="s">
        <v>90</v>
      </c>
      <c r="S230" s="89" t="s">
        <v>90</v>
      </c>
      <c r="T230" s="89" t="s">
        <v>90</v>
      </c>
      <c r="U230" s="90" t="s">
        <v>90</v>
      </c>
    </row>
    <row r="231" spans="1:21">
      <c r="A231" s="88">
        <v>230</v>
      </c>
      <c r="B231" s="89">
        <v>4</v>
      </c>
      <c r="C231" s="89">
        <v>12</v>
      </c>
      <c r="D231" s="89" t="s">
        <v>22</v>
      </c>
      <c r="E231" s="89">
        <v>1</v>
      </c>
      <c r="F231" s="89">
        <v>0</v>
      </c>
      <c r="G231" s="89">
        <v>9215.64143854087</v>
      </c>
      <c r="H231" s="89">
        <v>0</v>
      </c>
      <c r="I231" s="89">
        <v>100</v>
      </c>
      <c r="J231" s="89">
        <v>0</v>
      </c>
      <c r="K231" s="89">
        <v>0</v>
      </c>
      <c r="L231" s="89">
        <v>6.3</v>
      </c>
      <c r="M231" s="89">
        <v>0</v>
      </c>
      <c r="N231" s="89">
        <v>0</v>
      </c>
      <c r="O231" s="89">
        <v>420</v>
      </c>
      <c r="P231" s="89">
        <v>25</v>
      </c>
      <c r="Q231" s="89">
        <v>0</v>
      </c>
      <c r="R231" s="89" t="s">
        <v>90</v>
      </c>
      <c r="S231" s="89" t="s">
        <v>90</v>
      </c>
      <c r="T231" s="89" t="s">
        <v>90</v>
      </c>
      <c r="U231" s="90" t="s">
        <v>90</v>
      </c>
    </row>
    <row r="232" spans="1:21">
      <c r="A232" s="88">
        <v>231</v>
      </c>
      <c r="B232" s="89">
        <v>5</v>
      </c>
      <c r="C232" s="89">
        <v>1</v>
      </c>
      <c r="D232" s="89" t="s">
        <v>27</v>
      </c>
      <c r="E232" s="89">
        <v>1</v>
      </c>
      <c r="F232" s="89">
        <v>0</v>
      </c>
      <c r="G232" s="89">
        <v>-1</v>
      </c>
      <c r="H232" s="89">
        <v>35</v>
      </c>
      <c r="I232" s="89">
        <v>3</v>
      </c>
      <c r="J232" s="89">
        <v>48</v>
      </c>
      <c r="K232" s="89">
        <v>12</v>
      </c>
      <c r="L232" s="89">
        <v>6.2</v>
      </c>
      <c r="M232" s="89">
        <v>0.0258928755364807</v>
      </c>
      <c r="N232" s="89">
        <v>100</v>
      </c>
      <c r="O232" s="89">
        <v>350</v>
      </c>
      <c r="P232" s="89">
        <v>30</v>
      </c>
      <c r="Q232" s="89">
        <v>0.76</v>
      </c>
      <c r="R232" s="89" t="s">
        <v>90</v>
      </c>
      <c r="S232" s="89" t="s">
        <v>90</v>
      </c>
      <c r="T232" s="89" t="s">
        <v>90</v>
      </c>
      <c r="U232" s="90" t="s">
        <v>90</v>
      </c>
    </row>
    <row r="233" spans="1:21">
      <c r="A233" s="88">
        <v>232</v>
      </c>
      <c r="B233" s="89">
        <v>5</v>
      </c>
      <c r="C233" s="89">
        <v>2</v>
      </c>
      <c r="D233" s="89" t="s">
        <v>27</v>
      </c>
      <c r="E233" s="89">
        <v>1</v>
      </c>
      <c r="F233" s="89">
        <v>0</v>
      </c>
      <c r="G233" s="89">
        <v>-1</v>
      </c>
      <c r="H233" s="89">
        <v>50</v>
      </c>
      <c r="I233" s="89">
        <v>1</v>
      </c>
      <c r="J233" s="89">
        <v>24</v>
      </c>
      <c r="K233" s="89">
        <v>6</v>
      </c>
      <c r="L233" s="89">
        <v>6.2</v>
      </c>
      <c r="M233" s="89">
        <v>0.029005</v>
      </c>
      <c r="N233" s="89">
        <v>30</v>
      </c>
      <c r="O233" s="89">
        <v>420</v>
      </c>
      <c r="P233" s="89">
        <v>30</v>
      </c>
      <c r="Q233" s="89">
        <v>0.85</v>
      </c>
      <c r="R233" s="89" t="s">
        <v>90</v>
      </c>
      <c r="S233" s="89" t="s">
        <v>90</v>
      </c>
      <c r="T233" s="89" t="s">
        <v>90</v>
      </c>
      <c r="U233" s="90" t="s">
        <v>90</v>
      </c>
    </row>
    <row r="234" spans="1:21">
      <c r="A234" s="88">
        <v>233</v>
      </c>
      <c r="B234" s="89">
        <v>5</v>
      </c>
      <c r="C234" s="89">
        <v>3</v>
      </c>
      <c r="D234" s="89" t="s">
        <v>27</v>
      </c>
      <c r="E234" s="89">
        <v>1</v>
      </c>
      <c r="F234" s="89">
        <v>0</v>
      </c>
      <c r="G234" s="89">
        <v>22400</v>
      </c>
      <c r="H234" s="89">
        <v>30</v>
      </c>
      <c r="I234" s="89">
        <v>7</v>
      </c>
      <c r="J234" s="89">
        <v>2</v>
      </c>
      <c r="K234" s="89">
        <v>1</v>
      </c>
      <c r="L234" s="89">
        <v>9.8</v>
      </c>
      <c r="M234" s="89">
        <v>0.052793</v>
      </c>
      <c r="N234" s="89">
        <v>80</v>
      </c>
      <c r="O234" s="89">
        <v>200</v>
      </c>
      <c r="P234" s="89">
        <v>30</v>
      </c>
      <c r="Q234" s="89">
        <v>0.31</v>
      </c>
      <c r="R234" s="89" t="s">
        <v>90</v>
      </c>
      <c r="S234" s="89" t="s">
        <v>90</v>
      </c>
      <c r="T234" s="89" t="s">
        <v>90</v>
      </c>
      <c r="U234" s="90" t="s">
        <v>90</v>
      </c>
    </row>
    <row r="235" spans="1:21">
      <c r="A235" s="88">
        <v>234</v>
      </c>
      <c r="B235" s="89">
        <v>5</v>
      </c>
      <c r="C235" s="89">
        <v>12</v>
      </c>
      <c r="D235" s="89" t="s">
        <v>27</v>
      </c>
      <c r="E235" s="89">
        <v>1</v>
      </c>
      <c r="F235" s="89">
        <v>0</v>
      </c>
      <c r="G235" s="89">
        <v>27719.5815150759</v>
      </c>
      <c r="H235" s="89">
        <v>0</v>
      </c>
      <c r="I235" s="89">
        <v>100</v>
      </c>
      <c r="J235" s="89">
        <v>0</v>
      </c>
      <c r="K235" s="89">
        <v>0</v>
      </c>
      <c r="L235" s="89">
        <v>6.3</v>
      </c>
      <c r="M235" s="89">
        <v>0</v>
      </c>
      <c r="N235" s="89">
        <v>0</v>
      </c>
      <c r="O235" s="89">
        <v>420</v>
      </c>
      <c r="P235" s="89">
        <v>25</v>
      </c>
      <c r="Q235" s="89">
        <v>0</v>
      </c>
      <c r="R235" s="89" t="s">
        <v>90</v>
      </c>
      <c r="S235" s="89" t="s">
        <v>90</v>
      </c>
      <c r="T235" s="89" t="s">
        <v>90</v>
      </c>
      <c r="U235" s="90" t="s">
        <v>90</v>
      </c>
    </row>
    <row r="236" spans="1:21">
      <c r="A236" s="88">
        <v>235</v>
      </c>
      <c r="B236" s="89">
        <v>6</v>
      </c>
      <c r="C236" s="89">
        <v>1</v>
      </c>
      <c r="D236" s="89" t="s">
        <v>27</v>
      </c>
      <c r="E236" s="89">
        <v>1</v>
      </c>
      <c r="F236" s="89">
        <v>0</v>
      </c>
      <c r="G236" s="89">
        <v>-1</v>
      </c>
      <c r="H236" s="89">
        <v>35</v>
      </c>
      <c r="I236" s="89">
        <v>3</v>
      </c>
      <c r="J236" s="89">
        <v>48</v>
      </c>
      <c r="K236" s="89">
        <v>12</v>
      </c>
      <c r="L236" s="89">
        <v>6.2</v>
      </c>
      <c r="M236" s="89">
        <v>0.0258928755364807</v>
      </c>
      <c r="N236" s="89">
        <v>100</v>
      </c>
      <c r="O236" s="89">
        <v>350</v>
      </c>
      <c r="P236" s="89">
        <v>30</v>
      </c>
      <c r="Q236" s="89">
        <v>0.76</v>
      </c>
      <c r="R236" s="89" t="s">
        <v>90</v>
      </c>
      <c r="S236" s="89" t="s">
        <v>90</v>
      </c>
      <c r="T236" s="89" t="s">
        <v>90</v>
      </c>
      <c r="U236" s="90" t="s">
        <v>90</v>
      </c>
    </row>
    <row r="237" spans="1:21">
      <c r="A237" s="88">
        <v>236</v>
      </c>
      <c r="B237" s="89">
        <v>6</v>
      </c>
      <c r="C237" s="89">
        <v>2</v>
      </c>
      <c r="D237" s="89" t="s">
        <v>27</v>
      </c>
      <c r="E237" s="89">
        <v>1</v>
      </c>
      <c r="F237" s="89">
        <v>0</v>
      </c>
      <c r="G237" s="89">
        <v>-1</v>
      </c>
      <c r="H237" s="89">
        <v>50</v>
      </c>
      <c r="I237" s="89">
        <v>1</v>
      </c>
      <c r="J237" s="89">
        <v>24</v>
      </c>
      <c r="K237" s="89">
        <v>6</v>
      </c>
      <c r="L237" s="89">
        <v>6.2</v>
      </c>
      <c r="M237" s="89">
        <v>0.029005</v>
      </c>
      <c r="N237" s="89">
        <v>30</v>
      </c>
      <c r="O237" s="89">
        <v>420</v>
      </c>
      <c r="P237" s="89">
        <v>30</v>
      </c>
      <c r="Q237" s="89">
        <v>0.85</v>
      </c>
      <c r="R237" s="89" t="s">
        <v>90</v>
      </c>
      <c r="S237" s="89" t="s">
        <v>90</v>
      </c>
      <c r="T237" s="89" t="s">
        <v>90</v>
      </c>
      <c r="U237" s="90" t="s">
        <v>90</v>
      </c>
    </row>
    <row r="238" spans="1:21">
      <c r="A238" s="88">
        <v>237</v>
      </c>
      <c r="B238" s="89">
        <v>6</v>
      </c>
      <c r="C238" s="89">
        <v>3</v>
      </c>
      <c r="D238" s="89" t="s">
        <v>27</v>
      </c>
      <c r="E238" s="89">
        <v>1</v>
      </c>
      <c r="F238" s="89">
        <v>0</v>
      </c>
      <c r="G238" s="89">
        <v>11200</v>
      </c>
      <c r="H238" s="89">
        <v>30</v>
      </c>
      <c r="I238" s="89">
        <v>7</v>
      </c>
      <c r="J238" s="89">
        <v>2</v>
      </c>
      <c r="K238" s="89">
        <v>1</v>
      </c>
      <c r="L238" s="89">
        <v>9.8</v>
      </c>
      <c r="M238" s="89">
        <v>0.052793</v>
      </c>
      <c r="N238" s="89">
        <v>80</v>
      </c>
      <c r="O238" s="89">
        <v>200</v>
      </c>
      <c r="P238" s="89">
        <v>30</v>
      </c>
      <c r="Q238" s="89">
        <v>0.31</v>
      </c>
      <c r="R238" s="89" t="s">
        <v>90</v>
      </c>
      <c r="S238" s="89" t="s">
        <v>90</v>
      </c>
      <c r="T238" s="89" t="s">
        <v>90</v>
      </c>
      <c r="U238" s="90" t="s">
        <v>90</v>
      </c>
    </row>
    <row r="239" spans="1:21">
      <c r="A239" s="88">
        <v>238</v>
      </c>
      <c r="B239" s="89">
        <v>6</v>
      </c>
      <c r="C239" s="89">
        <v>11</v>
      </c>
      <c r="D239" s="89" t="s">
        <v>27</v>
      </c>
      <c r="E239" s="89">
        <v>1</v>
      </c>
      <c r="F239" s="89">
        <v>0</v>
      </c>
      <c r="G239" s="89">
        <v>863.671441473988</v>
      </c>
      <c r="H239" s="89">
        <v>0</v>
      </c>
      <c r="I239" s="89">
        <v>100</v>
      </c>
      <c r="J239" s="89">
        <v>0</v>
      </c>
      <c r="K239" s="89">
        <v>0</v>
      </c>
      <c r="L239" s="89">
        <v>6.65</v>
      </c>
      <c r="M239" s="89">
        <v>0</v>
      </c>
      <c r="N239" s="89">
        <v>0</v>
      </c>
      <c r="O239" s="89">
        <v>420</v>
      </c>
      <c r="P239" s="89">
        <v>25</v>
      </c>
      <c r="Q239" s="89">
        <v>0</v>
      </c>
      <c r="R239" s="89" t="s">
        <v>90</v>
      </c>
      <c r="S239" s="89" t="s">
        <v>90</v>
      </c>
      <c r="T239" s="89" t="s">
        <v>90</v>
      </c>
      <c r="U239" s="90" t="s">
        <v>90</v>
      </c>
    </row>
    <row r="240" spans="1:21">
      <c r="A240" s="88">
        <v>239</v>
      </c>
      <c r="B240" s="89">
        <v>6</v>
      </c>
      <c r="C240" s="89">
        <v>12</v>
      </c>
      <c r="D240" s="89" t="s">
        <v>27</v>
      </c>
      <c r="E240" s="89">
        <v>1</v>
      </c>
      <c r="F240" s="89">
        <v>0</v>
      </c>
      <c r="G240" s="89">
        <v>38339.6489499235</v>
      </c>
      <c r="H240" s="89">
        <v>0</v>
      </c>
      <c r="I240" s="89">
        <v>100</v>
      </c>
      <c r="J240" s="89">
        <v>0</v>
      </c>
      <c r="K240" s="89">
        <v>0</v>
      </c>
      <c r="L240" s="89">
        <v>6.3</v>
      </c>
      <c r="M240" s="89">
        <v>0</v>
      </c>
      <c r="N240" s="89">
        <v>0</v>
      </c>
      <c r="O240" s="89">
        <v>420</v>
      </c>
      <c r="P240" s="89">
        <v>25</v>
      </c>
      <c r="Q240" s="89">
        <v>0</v>
      </c>
      <c r="R240" s="89" t="s">
        <v>90</v>
      </c>
      <c r="S240" s="89" t="s">
        <v>90</v>
      </c>
      <c r="T240" s="89" t="s">
        <v>90</v>
      </c>
      <c r="U240" s="90" t="s">
        <v>90</v>
      </c>
    </row>
    <row r="241" spans="1:21">
      <c r="A241" s="88">
        <v>240</v>
      </c>
      <c r="B241" s="89">
        <v>7</v>
      </c>
      <c r="C241" s="89">
        <v>1</v>
      </c>
      <c r="D241" s="89" t="s">
        <v>27</v>
      </c>
      <c r="E241" s="89">
        <v>1</v>
      </c>
      <c r="F241" s="89">
        <v>0</v>
      </c>
      <c r="G241" s="89">
        <v>-1</v>
      </c>
      <c r="H241" s="89">
        <v>35</v>
      </c>
      <c r="I241" s="89">
        <v>3</v>
      </c>
      <c r="J241" s="89">
        <v>48</v>
      </c>
      <c r="K241" s="89">
        <v>12</v>
      </c>
      <c r="L241" s="89">
        <v>6.2</v>
      </c>
      <c r="M241" s="89">
        <v>0.0258928755364807</v>
      </c>
      <c r="N241" s="89">
        <v>100</v>
      </c>
      <c r="O241" s="89">
        <v>350</v>
      </c>
      <c r="P241" s="89">
        <v>30</v>
      </c>
      <c r="Q241" s="89">
        <v>0.76</v>
      </c>
      <c r="R241" s="89" t="s">
        <v>90</v>
      </c>
      <c r="S241" s="89" t="s">
        <v>90</v>
      </c>
      <c r="T241" s="89" t="s">
        <v>90</v>
      </c>
      <c r="U241" s="90" t="s">
        <v>90</v>
      </c>
    </row>
    <row r="242" spans="1:21">
      <c r="A242" s="88">
        <v>241</v>
      </c>
      <c r="B242" s="89">
        <v>7</v>
      </c>
      <c r="C242" s="89">
        <v>2</v>
      </c>
      <c r="D242" s="89" t="s">
        <v>27</v>
      </c>
      <c r="E242" s="89">
        <v>1</v>
      </c>
      <c r="F242" s="89">
        <v>0</v>
      </c>
      <c r="G242" s="89">
        <v>-1</v>
      </c>
      <c r="H242" s="89">
        <v>50</v>
      </c>
      <c r="I242" s="89">
        <v>1</v>
      </c>
      <c r="J242" s="89">
        <v>24</v>
      </c>
      <c r="K242" s="89">
        <v>6</v>
      </c>
      <c r="L242" s="89">
        <v>6.2</v>
      </c>
      <c r="M242" s="89">
        <v>0.029005</v>
      </c>
      <c r="N242" s="89">
        <v>30</v>
      </c>
      <c r="O242" s="89">
        <v>420</v>
      </c>
      <c r="P242" s="89">
        <v>30</v>
      </c>
      <c r="Q242" s="89">
        <v>0.85</v>
      </c>
      <c r="R242" s="89" t="s">
        <v>90</v>
      </c>
      <c r="S242" s="89" t="s">
        <v>90</v>
      </c>
      <c r="T242" s="89" t="s">
        <v>90</v>
      </c>
      <c r="U242" s="90" t="s">
        <v>90</v>
      </c>
    </row>
    <row r="243" spans="1:21">
      <c r="A243" s="88">
        <v>242</v>
      </c>
      <c r="B243" s="89">
        <v>7</v>
      </c>
      <c r="C243" s="89">
        <v>3</v>
      </c>
      <c r="D243" s="89" t="s">
        <v>27</v>
      </c>
      <c r="E243" s="89">
        <v>1</v>
      </c>
      <c r="F243" s="89">
        <v>0</v>
      </c>
      <c r="G243" s="89">
        <v>5600</v>
      </c>
      <c r="H243" s="89">
        <v>30</v>
      </c>
      <c r="I243" s="89">
        <v>7</v>
      </c>
      <c r="J243" s="89">
        <v>2</v>
      </c>
      <c r="K243" s="89">
        <v>1</v>
      </c>
      <c r="L243" s="89">
        <v>9.8</v>
      </c>
      <c r="M243" s="89">
        <v>0.052793</v>
      </c>
      <c r="N243" s="89">
        <v>80</v>
      </c>
      <c r="O243" s="89">
        <v>200</v>
      </c>
      <c r="P243" s="89">
        <v>30</v>
      </c>
      <c r="Q243" s="89">
        <v>0.31</v>
      </c>
      <c r="R243" s="89" t="s">
        <v>90</v>
      </c>
      <c r="S243" s="89" t="s">
        <v>90</v>
      </c>
      <c r="T243" s="89" t="s">
        <v>90</v>
      </c>
      <c r="U243" s="90" t="s">
        <v>90</v>
      </c>
    </row>
    <row r="244" spans="1:21">
      <c r="A244" s="88">
        <v>243</v>
      </c>
      <c r="B244" s="89">
        <v>7</v>
      </c>
      <c r="C244" s="89">
        <v>11</v>
      </c>
      <c r="D244" s="89" t="s">
        <v>27</v>
      </c>
      <c r="E244" s="89">
        <v>1</v>
      </c>
      <c r="F244" s="89">
        <v>0</v>
      </c>
      <c r="G244" s="89">
        <v>4246.88095014451</v>
      </c>
      <c r="H244" s="89">
        <v>0</v>
      </c>
      <c r="I244" s="89">
        <v>100</v>
      </c>
      <c r="J244" s="89">
        <v>0</v>
      </c>
      <c r="K244" s="89">
        <v>0</v>
      </c>
      <c r="L244" s="89">
        <v>6.65</v>
      </c>
      <c r="M244" s="89">
        <v>0</v>
      </c>
      <c r="N244" s="89">
        <v>0</v>
      </c>
      <c r="O244" s="89">
        <v>420</v>
      </c>
      <c r="P244" s="89">
        <v>25</v>
      </c>
      <c r="Q244" s="89">
        <v>0</v>
      </c>
      <c r="R244" s="89" t="s">
        <v>90</v>
      </c>
      <c r="S244" s="89" t="s">
        <v>90</v>
      </c>
      <c r="T244" s="89" t="s">
        <v>90</v>
      </c>
      <c r="U244" s="90" t="s">
        <v>90</v>
      </c>
    </row>
    <row r="245" spans="1:21">
      <c r="A245" s="88">
        <v>244</v>
      </c>
      <c r="B245" s="89">
        <v>7</v>
      </c>
      <c r="C245" s="89">
        <v>12</v>
      </c>
      <c r="D245" s="89" t="s">
        <v>27</v>
      </c>
      <c r="E245" s="89">
        <v>1</v>
      </c>
      <c r="F245" s="89">
        <v>0</v>
      </c>
      <c r="G245" s="89">
        <v>40694.412058321</v>
      </c>
      <c r="H245" s="89">
        <v>0</v>
      </c>
      <c r="I245" s="89">
        <v>100</v>
      </c>
      <c r="J245" s="89">
        <v>0</v>
      </c>
      <c r="K245" s="89">
        <v>0</v>
      </c>
      <c r="L245" s="89">
        <v>6.3</v>
      </c>
      <c r="M245" s="89">
        <v>0</v>
      </c>
      <c r="N245" s="89">
        <v>0</v>
      </c>
      <c r="O245" s="89">
        <v>420</v>
      </c>
      <c r="P245" s="89">
        <v>25</v>
      </c>
      <c r="Q245" s="89">
        <v>0</v>
      </c>
      <c r="R245" s="89" t="s">
        <v>90</v>
      </c>
      <c r="S245" s="89" t="s">
        <v>90</v>
      </c>
      <c r="T245" s="89" t="s">
        <v>90</v>
      </c>
      <c r="U245" s="90" t="s">
        <v>90</v>
      </c>
    </row>
    <row r="246" spans="1:21">
      <c r="A246" s="88">
        <v>245</v>
      </c>
      <c r="B246" s="89">
        <v>7</v>
      </c>
      <c r="C246" s="89">
        <v>14</v>
      </c>
      <c r="D246" s="89" t="s">
        <v>27</v>
      </c>
      <c r="E246" s="89">
        <v>1</v>
      </c>
      <c r="F246" s="89">
        <v>0</v>
      </c>
      <c r="G246" s="89">
        <v>19682.2144474433</v>
      </c>
      <c r="H246" s="89">
        <v>0</v>
      </c>
      <c r="I246" s="89">
        <v>100</v>
      </c>
      <c r="J246" s="89">
        <v>0</v>
      </c>
      <c r="K246" s="89">
        <v>0</v>
      </c>
      <c r="L246" s="89">
        <v>14.6</v>
      </c>
      <c r="M246" s="89">
        <v>0</v>
      </c>
      <c r="N246" s="89">
        <v>0</v>
      </c>
      <c r="O246" s="89">
        <v>520</v>
      </c>
      <c r="P246" s="89">
        <v>25</v>
      </c>
      <c r="Q246" s="89">
        <v>0</v>
      </c>
      <c r="R246" s="89" t="s">
        <v>90</v>
      </c>
      <c r="S246" s="89" t="s">
        <v>90</v>
      </c>
      <c r="T246" s="89" t="s">
        <v>90</v>
      </c>
      <c r="U246" s="90" t="s">
        <v>90</v>
      </c>
    </row>
    <row r="247" spans="1:21">
      <c r="A247" s="88">
        <v>246</v>
      </c>
      <c r="B247" s="89">
        <v>7</v>
      </c>
      <c r="C247" s="89">
        <v>15</v>
      </c>
      <c r="D247" s="89" t="s">
        <v>27</v>
      </c>
      <c r="E247" s="89">
        <v>1</v>
      </c>
      <c r="F247" s="89">
        <v>0</v>
      </c>
      <c r="G247" s="89">
        <v>28344.009489917</v>
      </c>
      <c r="H247" s="89">
        <v>0</v>
      </c>
      <c r="I247" s="89">
        <v>100</v>
      </c>
      <c r="J247" s="89">
        <v>0</v>
      </c>
      <c r="K247" s="89">
        <v>0</v>
      </c>
      <c r="L247" s="89">
        <v>43.45</v>
      </c>
      <c r="M247" s="89">
        <v>0</v>
      </c>
      <c r="N247" s="89">
        <v>0</v>
      </c>
      <c r="O247" s="89">
        <v>1400</v>
      </c>
      <c r="P247" s="89">
        <v>25</v>
      </c>
      <c r="Q247" s="89">
        <v>0</v>
      </c>
      <c r="R247" s="89" t="s">
        <v>90</v>
      </c>
      <c r="S247" s="89" t="s">
        <v>90</v>
      </c>
      <c r="T247" s="89" t="s">
        <v>90</v>
      </c>
      <c r="U247" s="90" t="s">
        <v>90</v>
      </c>
    </row>
    <row r="248" spans="1:21">
      <c r="A248" s="88">
        <v>247</v>
      </c>
      <c r="B248" s="89">
        <v>8</v>
      </c>
      <c r="C248" s="89">
        <v>1</v>
      </c>
      <c r="D248" s="89" t="s">
        <v>27</v>
      </c>
      <c r="E248" s="89">
        <v>1</v>
      </c>
      <c r="F248" s="89">
        <v>0</v>
      </c>
      <c r="G248" s="89">
        <v>-1</v>
      </c>
      <c r="H248" s="89">
        <v>35</v>
      </c>
      <c r="I248" s="89">
        <v>3</v>
      </c>
      <c r="J248" s="89">
        <v>48</v>
      </c>
      <c r="K248" s="89">
        <v>12</v>
      </c>
      <c r="L248" s="89">
        <v>6.2</v>
      </c>
      <c r="M248" s="89">
        <v>0.0258928755364807</v>
      </c>
      <c r="N248" s="89">
        <v>100</v>
      </c>
      <c r="O248" s="89">
        <v>350</v>
      </c>
      <c r="P248" s="89">
        <v>30</v>
      </c>
      <c r="Q248" s="89">
        <v>0.76</v>
      </c>
      <c r="R248" s="89" t="s">
        <v>90</v>
      </c>
      <c r="S248" s="89" t="s">
        <v>90</v>
      </c>
      <c r="T248" s="89" t="s">
        <v>90</v>
      </c>
      <c r="U248" s="90" t="s">
        <v>90</v>
      </c>
    </row>
    <row r="249" spans="1:21">
      <c r="A249" s="88">
        <v>248</v>
      </c>
      <c r="B249" s="89">
        <v>8</v>
      </c>
      <c r="C249" s="89">
        <v>2</v>
      </c>
      <c r="D249" s="89" t="s">
        <v>27</v>
      </c>
      <c r="E249" s="89">
        <v>1</v>
      </c>
      <c r="F249" s="89">
        <v>0</v>
      </c>
      <c r="G249" s="89">
        <v>-1</v>
      </c>
      <c r="H249" s="89">
        <v>50</v>
      </c>
      <c r="I249" s="89">
        <v>1</v>
      </c>
      <c r="J249" s="89">
        <v>24</v>
      </c>
      <c r="K249" s="89">
        <v>6</v>
      </c>
      <c r="L249" s="89">
        <v>6.2</v>
      </c>
      <c r="M249" s="89">
        <v>0.029005</v>
      </c>
      <c r="N249" s="89">
        <v>30</v>
      </c>
      <c r="O249" s="89">
        <v>420</v>
      </c>
      <c r="P249" s="89">
        <v>30</v>
      </c>
      <c r="Q249" s="89">
        <v>0.85</v>
      </c>
      <c r="R249" s="89" t="s">
        <v>90</v>
      </c>
      <c r="S249" s="89" t="s">
        <v>90</v>
      </c>
      <c r="T249" s="89" t="s">
        <v>90</v>
      </c>
      <c r="U249" s="90" t="s">
        <v>90</v>
      </c>
    </row>
    <row r="250" spans="1:21">
      <c r="A250" s="88">
        <v>249</v>
      </c>
      <c r="B250" s="89">
        <v>8</v>
      </c>
      <c r="C250" s="89">
        <v>3</v>
      </c>
      <c r="D250" s="89" t="s">
        <v>27</v>
      </c>
      <c r="E250" s="89">
        <v>1</v>
      </c>
      <c r="F250" s="89">
        <v>0</v>
      </c>
      <c r="G250" s="89">
        <v>11200</v>
      </c>
      <c r="H250" s="89">
        <v>30</v>
      </c>
      <c r="I250" s="89">
        <v>7</v>
      </c>
      <c r="J250" s="89">
        <v>2</v>
      </c>
      <c r="K250" s="89">
        <v>1</v>
      </c>
      <c r="L250" s="89">
        <v>9.8</v>
      </c>
      <c r="M250" s="89">
        <v>0.052793</v>
      </c>
      <c r="N250" s="89">
        <v>80</v>
      </c>
      <c r="O250" s="89">
        <v>200</v>
      </c>
      <c r="P250" s="89">
        <v>30</v>
      </c>
      <c r="Q250" s="89">
        <v>0.31</v>
      </c>
      <c r="R250" s="89" t="s">
        <v>90</v>
      </c>
      <c r="S250" s="89" t="s">
        <v>90</v>
      </c>
      <c r="T250" s="89" t="s">
        <v>90</v>
      </c>
      <c r="U250" s="90" t="s">
        <v>90</v>
      </c>
    </row>
    <row r="251" spans="1:21">
      <c r="A251" s="88">
        <v>250</v>
      </c>
      <c r="B251" s="89">
        <v>8</v>
      </c>
      <c r="C251" s="89">
        <v>12</v>
      </c>
      <c r="D251" s="89" t="s">
        <v>27</v>
      </c>
      <c r="E251" s="89">
        <v>1</v>
      </c>
      <c r="F251" s="89">
        <v>0</v>
      </c>
      <c r="G251" s="89">
        <v>29620.8140068592</v>
      </c>
      <c r="H251" s="89">
        <v>0</v>
      </c>
      <c r="I251" s="89">
        <v>100</v>
      </c>
      <c r="J251" s="89">
        <v>0</v>
      </c>
      <c r="K251" s="89">
        <v>0</v>
      </c>
      <c r="L251" s="89">
        <v>6.3</v>
      </c>
      <c r="M251" s="89">
        <v>0</v>
      </c>
      <c r="N251" s="89">
        <v>0</v>
      </c>
      <c r="O251" s="89">
        <v>420</v>
      </c>
      <c r="P251" s="89">
        <v>25</v>
      </c>
      <c r="Q251" s="89">
        <v>0</v>
      </c>
      <c r="R251" s="89" t="s">
        <v>90</v>
      </c>
      <c r="S251" s="89" t="s">
        <v>90</v>
      </c>
      <c r="T251" s="89" t="s">
        <v>90</v>
      </c>
      <c r="U251" s="90" t="s">
        <v>90</v>
      </c>
    </row>
    <row r="252" spans="1:21">
      <c r="A252" s="88">
        <v>251</v>
      </c>
      <c r="B252" s="89">
        <v>9</v>
      </c>
      <c r="C252" s="89">
        <v>3</v>
      </c>
      <c r="D252" s="89" t="s">
        <v>27</v>
      </c>
      <c r="E252" s="89">
        <v>1</v>
      </c>
      <c r="F252" s="89">
        <v>0</v>
      </c>
      <c r="G252" s="89">
        <v>2800</v>
      </c>
      <c r="H252" s="89">
        <v>30</v>
      </c>
      <c r="I252" s="89">
        <v>7</v>
      </c>
      <c r="J252" s="89">
        <v>2</v>
      </c>
      <c r="K252" s="89">
        <v>1</v>
      </c>
      <c r="L252" s="89">
        <v>9.8</v>
      </c>
      <c r="M252" s="89">
        <v>0.052793</v>
      </c>
      <c r="N252" s="89">
        <v>80</v>
      </c>
      <c r="O252" s="89">
        <v>200</v>
      </c>
      <c r="P252" s="89">
        <v>30</v>
      </c>
      <c r="Q252" s="89">
        <v>0.31</v>
      </c>
      <c r="R252" s="89" t="s">
        <v>90</v>
      </c>
      <c r="S252" s="89" t="s">
        <v>90</v>
      </c>
      <c r="T252" s="89" t="s">
        <v>90</v>
      </c>
      <c r="U252" s="90" t="s">
        <v>90</v>
      </c>
    </row>
    <row r="253" spans="1:21">
      <c r="A253" s="88">
        <v>252</v>
      </c>
      <c r="B253" s="89">
        <v>9</v>
      </c>
      <c r="C253" s="89">
        <v>12</v>
      </c>
      <c r="D253" s="89" t="s">
        <v>27</v>
      </c>
      <c r="E253" s="89">
        <v>1</v>
      </c>
      <c r="F253" s="89">
        <v>0</v>
      </c>
      <c r="G253" s="89">
        <v>81823.1483007761</v>
      </c>
      <c r="H253" s="89">
        <v>0</v>
      </c>
      <c r="I253" s="89">
        <v>100</v>
      </c>
      <c r="J253" s="89">
        <v>0</v>
      </c>
      <c r="K253" s="89">
        <v>0</v>
      </c>
      <c r="L253" s="89">
        <v>6.3</v>
      </c>
      <c r="M253" s="89">
        <v>0</v>
      </c>
      <c r="N253" s="89">
        <v>0</v>
      </c>
      <c r="O253" s="89">
        <v>420</v>
      </c>
      <c r="P253" s="89">
        <v>25</v>
      </c>
      <c r="Q253" s="89">
        <v>0</v>
      </c>
      <c r="R253" s="89" t="s">
        <v>90</v>
      </c>
      <c r="S253" s="89" t="s">
        <v>90</v>
      </c>
      <c r="T253" s="89" t="s">
        <v>90</v>
      </c>
      <c r="U253" s="90" t="s">
        <v>90</v>
      </c>
    </row>
    <row r="254" spans="1:21">
      <c r="A254" s="88">
        <v>253</v>
      </c>
      <c r="B254" s="89">
        <v>9</v>
      </c>
      <c r="C254" s="89">
        <v>14</v>
      </c>
      <c r="D254" s="89" t="s">
        <v>27</v>
      </c>
      <c r="E254" s="89">
        <v>1</v>
      </c>
      <c r="F254" s="89">
        <v>0</v>
      </c>
      <c r="G254" s="89">
        <v>17491.5754755956</v>
      </c>
      <c r="H254" s="89">
        <v>0</v>
      </c>
      <c r="I254" s="89">
        <v>100</v>
      </c>
      <c r="J254" s="89">
        <v>0</v>
      </c>
      <c r="K254" s="89">
        <v>0</v>
      </c>
      <c r="L254" s="89">
        <v>14.6</v>
      </c>
      <c r="M254" s="89">
        <v>0</v>
      </c>
      <c r="N254" s="89">
        <v>0</v>
      </c>
      <c r="O254" s="89">
        <v>520</v>
      </c>
      <c r="P254" s="89">
        <v>25</v>
      </c>
      <c r="Q254" s="89">
        <v>0</v>
      </c>
      <c r="R254" s="89" t="s">
        <v>90</v>
      </c>
      <c r="S254" s="89" t="s">
        <v>90</v>
      </c>
      <c r="T254" s="89" t="s">
        <v>90</v>
      </c>
      <c r="U254" s="90" t="s">
        <v>90</v>
      </c>
    </row>
    <row r="255" spans="1:21">
      <c r="A255" s="88">
        <v>254</v>
      </c>
      <c r="B255" s="89">
        <v>10</v>
      </c>
      <c r="C255" s="89">
        <v>1</v>
      </c>
      <c r="D255" s="89" t="s">
        <v>27</v>
      </c>
      <c r="E255" s="89">
        <v>1</v>
      </c>
      <c r="F255" s="89">
        <v>0</v>
      </c>
      <c r="G255" s="89">
        <v>-1</v>
      </c>
      <c r="H255" s="89">
        <v>35</v>
      </c>
      <c r="I255" s="89">
        <v>3</v>
      </c>
      <c r="J255" s="89">
        <v>48</v>
      </c>
      <c r="K255" s="89">
        <v>12</v>
      </c>
      <c r="L255" s="89">
        <v>6.2</v>
      </c>
      <c r="M255" s="89">
        <v>0.0258928755364807</v>
      </c>
      <c r="N255" s="89">
        <v>100</v>
      </c>
      <c r="O255" s="89">
        <v>350</v>
      </c>
      <c r="P255" s="89">
        <v>30</v>
      </c>
      <c r="Q255" s="89">
        <v>0.76</v>
      </c>
      <c r="R255" s="89" t="s">
        <v>90</v>
      </c>
      <c r="S255" s="89" t="s">
        <v>90</v>
      </c>
      <c r="T255" s="89" t="s">
        <v>90</v>
      </c>
      <c r="U255" s="90" t="s">
        <v>90</v>
      </c>
    </row>
    <row r="256" spans="1:21">
      <c r="A256" s="88">
        <v>255</v>
      </c>
      <c r="B256" s="89">
        <v>10</v>
      </c>
      <c r="C256" s="89">
        <v>2</v>
      </c>
      <c r="D256" s="89" t="s">
        <v>27</v>
      </c>
      <c r="E256" s="89">
        <v>1</v>
      </c>
      <c r="F256" s="89">
        <v>0</v>
      </c>
      <c r="G256" s="89">
        <v>-1</v>
      </c>
      <c r="H256" s="89">
        <v>50</v>
      </c>
      <c r="I256" s="89">
        <v>1</v>
      </c>
      <c r="J256" s="89">
        <v>24</v>
      </c>
      <c r="K256" s="89">
        <v>6</v>
      </c>
      <c r="L256" s="89">
        <v>6.2</v>
      </c>
      <c r="M256" s="89">
        <v>0.029005</v>
      </c>
      <c r="N256" s="89">
        <v>30</v>
      </c>
      <c r="O256" s="89">
        <v>420</v>
      </c>
      <c r="P256" s="89">
        <v>30</v>
      </c>
      <c r="Q256" s="89">
        <v>0.85</v>
      </c>
      <c r="R256" s="89" t="s">
        <v>90</v>
      </c>
      <c r="S256" s="89" t="s">
        <v>90</v>
      </c>
      <c r="T256" s="89" t="s">
        <v>90</v>
      </c>
      <c r="U256" s="90" t="s">
        <v>90</v>
      </c>
    </row>
    <row r="257" spans="1:21">
      <c r="A257" s="88">
        <v>256</v>
      </c>
      <c r="B257" s="89">
        <v>10</v>
      </c>
      <c r="C257" s="89">
        <v>3</v>
      </c>
      <c r="D257" s="89" t="s">
        <v>27</v>
      </c>
      <c r="E257" s="89">
        <v>1</v>
      </c>
      <c r="F257" s="89">
        <v>0</v>
      </c>
      <c r="G257" s="89">
        <v>5600</v>
      </c>
      <c r="H257" s="89">
        <v>30</v>
      </c>
      <c r="I257" s="89">
        <v>7</v>
      </c>
      <c r="J257" s="89">
        <v>2</v>
      </c>
      <c r="K257" s="89">
        <v>1</v>
      </c>
      <c r="L257" s="89">
        <v>9.8</v>
      </c>
      <c r="M257" s="89">
        <v>0.052793</v>
      </c>
      <c r="N257" s="89">
        <v>80</v>
      </c>
      <c r="O257" s="89">
        <v>200</v>
      </c>
      <c r="P257" s="89">
        <v>30</v>
      </c>
      <c r="Q257" s="89">
        <v>0.31</v>
      </c>
      <c r="R257" s="89" t="s">
        <v>90</v>
      </c>
      <c r="S257" s="89" t="s">
        <v>90</v>
      </c>
      <c r="T257" s="89" t="s">
        <v>90</v>
      </c>
      <c r="U257" s="90" t="s">
        <v>90</v>
      </c>
    </row>
    <row r="258" spans="1:21">
      <c r="A258" s="88">
        <v>257</v>
      </c>
      <c r="B258" s="89">
        <v>10</v>
      </c>
      <c r="C258" s="89">
        <v>12</v>
      </c>
      <c r="D258" s="89" t="s">
        <v>27</v>
      </c>
      <c r="E258" s="89">
        <v>1</v>
      </c>
      <c r="F258" s="89">
        <v>0</v>
      </c>
      <c r="G258" s="89">
        <v>21840.0975069912</v>
      </c>
      <c r="H258" s="89">
        <v>0</v>
      </c>
      <c r="I258" s="89">
        <v>100</v>
      </c>
      <c r="J258" s="89">
        <v>0</v>
      </c>
      <c r="K258" s="89">
        <v>0</v>
      </c>
      <c r="L258" s="89">
        <v>6.3</v>
      </c>
      <c r="M258" s="89">
        <v>0</v>
      </c>
      <c r="N258" s="89">
        <v>0</v>
      </c>
      <c r="O258" s="89">
        <v>420</v>
      </c>
      <c r="P258" s="89">
        <v>25</v>
      </c>
      <c r="Q258" s="89">
        <v>0</v>
      </c>
      <c r="R258" s="89" t="s">
        <v>90</v>
      </c>
      <c r="S258" s="89" t="s">
        <v>90</v>
      </c>
      <c r="T258" s="89" t="s">
        <v>90</v>
      </c>
      <c r="U258" s="90" t="s">
        <v>90</v>
      </c>
    </row>
    <row r="259" spans="1:21">
      <c r="A259" s="88">
        <v>258</v>
      </c>
      <c r="B259" s="89">
        <v>11</v>
      </c>
      <c r="C259" s="89">
        <v>1</v>
      </c>
      <c r="D259" s="89" t="s">
        <v>27</v>
      </c>
      <c r="E259" s="89">
        <v>1</v>
      </c>
      <c r="F259" s="89">
        <v>0</v>
      </c>
      <c r="G259" s="89">
        <v>-1</v>
      </c>
      <c r="H259" s="89">
        <v>35</v>
      </c>
      <c r="I259" s="89">
        <v>3</v>
      </c>
      <c r="J259" s="89">
        <v>48</v>
      </c>
      <c r="K259" s="89">
        <v>12</v>
      </c>
      <c r="L259" s="89">
        <v>6.2</v>
      </c>
      <c r="M259" s="89">
        <v>0.0258928755364807</v>
      </c>
      <c r="N259" s="89">
        <v>100</v>
      </c>
      <c r="O259" s="89">
        <v>350</v>
      </c>
      <c r="P259" s="89">
        <v>30</v>
      </c>
      <c r="Q259" s="89">
        <v>0.76</v>
      </c>
      <c r="R259" s="89" t="s">
        <v>90</v>
      </c>
      <c r="S259" s="89" t="s">
        <v>90</v>
      </c>
      <c r="T259" s="89" t="s">
        <v>90</v>
      </c>
      <c r="U259" s="90" t="s">
        <v>90</v>
      </c>
    </row>
    <row r="260" spans="1:21">
      <c r="A260" s="88">
        <v>259</v>
      </c>
      <c r="B260" s="89">
        <v>11</v>
      </c>
      <c r="C260" s="89">
        <v>2</v>
      </c>
      <c r="D260" s="89" t="s">
        <v>27</v>
      </c>
      <c r="E260" s="89">
        <v>1</v>
      </c>
      <c r="F260" s="89">
        <v>0</v>
      </c>
      <c r="G260" s="89">
        <v>-1</v>
      </c>
      <c r="H260" s="89">
        <v>50</v>
      </c>
      <c r="I260" s="89">
        <v>1</v>
      </c>
      <c r="J260" s="89">
        <v>24</v>
      </c>
      <c r="K260" s="89">
        <v>6</v>
      </c>
      <c r="L260" s="89">
        <v>6.2</v>
      </c>
      <c r="M260" s="89">
        <v>0.029005</v>
      </c>
      <c r="N260" s="89">
        <v>30</v>
      </c>
      <c r="O260" s="89">
        <v>420</v>
      </c>
      <c r="P260" s="89">
        <v>30</v>
      </c>
      <c r="Q260" s="89">
        <v>0.85</v>
      </c>
      <c r="R260" s="89" t="s">
        <v>90</v>
      </c>
      <c r="S260" s="89" t="s">
        <v>90</v>
      </c>
      <c r="T260" s="89" t="s">
        <v>90</v>
      </c>
      <c r="U260" s="90" t="s">
        <v>90</v>
      </c>
    </row>
    <row r="261" spans="1:21">
      <c r="A261" s="88">
        <v>260</v>
      </c>
      <c r="B261" s="89">
        <v>11</v>
      </c>
      <c r="C261" s="89">
        <v>3</v>
      </c>
      <c r="D261" s="89" t="s">
        <v>27</v>
      </c>
      <c r="E261" s="89">
        <v>1</v>
      </c>
      <c r="F261" s="89">
        <v>0</v>
      </c>
      <c r="G261" s="89">
        <v>2800</v>
      </c>
      <c r="H261" s="89">
        <v>30</v>
      </c>
      <c r="I261" s="89">
        <v>7</v>
      </c>
      <c r="J261" s="89">
        <v>2</v>
      </c>
      <c r="K261" s="89">
        <v>1</v>
      </c>
      <c r="L261" s="89">
        <v>9.8</v>
      </c>
      <c r="M261" s="89">
        <v>0.052793</v>
      </c>
      <c r="N261" s="89">
        <v>80</v>
      </c>
      <c r="O261" s="89">
        <v>200</v>
      </c>
      <c r="P261" s="89">
        <v>30</v>
      </c>
      <c r="Q261" s="89">
        <v>0.31</v>
      </c>
      <c r="R261" s="89" t="s">
        <v>90</v>
      </c>
      <c r="S261" s="89" t="s">
        <v>90</v>
      </c>
      <c r="T261" s="89" t="s">
        <v>90</v>
      </c>
      <c r="U261" s="90" t="s">
        <v>90</v>
      </c>
    </row>
    <row r="262" spans="1:21">
      <c r="A262" s="88">
        <v>261</v>
      </c>
      <c r="B262" s="89">
        <v>11</v>
      </c>
      <c r="C262" s="89">
        <v>12</v>
      </c>
      <c r="D262" s="89" t="s">
        <v>27</v>
      </c>
      <c r="E262" s="89">
        <v>1</v>
      </c>
      <c r="F262" s="89">
        <v>0</v>
      </c>
      <c r="G262" s="89">
        <v>30366.9362331707</v>
      </c>
      <c r="H262" s="89">
        <v>0</v>
      </c>
      <c r="I262" s="89">
        <v>100</v>
      </c>
      <c r="J262" s="89">
        <v>0</v>
      </c>
      <c r="K262" s="89">
        <v>0</v>
      </c>
      <c r="L262" s="89">
        <v>6.3</v>
      </c>
      <c r="M262" s="89">
        <v>0</v>
      </c>
      <c r="N262" s="89">
        <v>0</v>
      </c>
      <c r="O262" s="89">
        <v>420</v>
      </c>
      <c r="P262" s="89">
        <v>25</v>
      </c>
      <c r="Q262" s="89">
        <v>0</v>
      </c>
      <c r="R262" s="89" t="s">
        <v>90</v>
      </c>
      <c r="S262" s="89" t="s">
        <v>90</v>
      </c>
      <c r="T262" s="89" t="s">
        <v>90</v>
      </c>
      <c r="U262" s="90" t="s">
        <v>90</v>
      </c>
    </row>
    <row r="263" spans="1:21">
      <c r="A263" s="88">
        <v>262</v>
      </c>
      <c r="B263" s="89">
        <v>12</v>
      </c>
      <c r="C263" s="89">
        <v>1</v>
      </c>
      <c r="D263" s="89" t="s">
        <v>27</v>
      </c>
      <c r="E263" s="89">
        <v>1</v>
      </c>
      <c r="F263" s="89">
        <v>0</v>
      </c>
      <c r="G263" s="89">
        <v>-1</v>
      </c>
      <c r="H263" s="89">
        <v>35</v>
      </c>
      <c r="I263" s="89">
        <v>3</v>
      </c>
      <c r="J263" s="89">
        <v>48</v>
      </c>
      <c r="K263" s="89">
        <v>12</v>
      </c>
      <c r="L263" s="89">
        <v>6.2</v>
      </c>
      <c r="M263" s="89">
        <v>0.0258928755364807</v>
      </c>
      <c r="N263" s="89">
        <v>100</v>
      </c>
      <c r="O263" s="89">
        <v>350</v>
      </c>
      <c r="P263" s="89">
        <v>30</v>
      </c>
      <c r="Q263" s="89">
        <v>0.76</v>
      </c>
      <c r="R263" s="89" t="s">
        <v>90</v>
      </c>
      <c r="S263" s="89" t="s">
        <v>90</v>
      </c>
      <c r="T263" s="89" t="s">
        <v>90</v>
      </c>
      <c r="U263" s="90" t="s">
        <v>90</v>
      </c>
    </row>
    <row r="264" spans="1:21">
      <c r="A264" s="88">
        <v>263</v>
      </c>
      <c r="B264" s="89">
        <v>12</v>
      </c>
      <c r="C264" s="89">
        <v>2</v>
      </c>
      <c r="D264" s="89" t="s">
        <v>27</v>
      </c>
      <c r="E264" s="89">
        <v>1</v>
      </c>
      <c r="F264" s="89">
        <v>0</v>
      </c>
      <c r="G264" s="89">
        <v>-1</v>
      </c>
      <c r="H264" s="89">
        <v>50</v>
      </c>
      <c r="I264" s="89">
        <v>1</v>
      </c>
      <c r="J264" s="89">
        <v>24</v>
      </c>
      <c r="K264" s="89">
        <v>6</v>
      </c>
      <c r="L264" s="89">
        <v>6.2</v>
      </c>
      <c r="M264" s="89">
        <v>0.029005</v>
      </c>
      <c r="N264" s="89">
        <v>30</v>
      </c>
      <c r="O264" s="89">
        <v>420</v>
      </c>
      <c r="P264" s="89">
        <v>30</v>
      </c>
      <c r="Q264" s="89">
        <v>0.85</v>
      </c>
      <c r="R264" s="89" t="s">
        <v>90</v>
      </c>
      <c r="S264" s="89" t="s">
        <v>90</v>
      </c>
      <c r="T264" s="89" t="s">
        <v>90</v>
      </c>
      <c r="U264" s="90" t="s">
        <v>90</v>
      </c>
    </row>
    <row r="265" spans="1:21">
      <c r="A265" s="88">
        <v>264</v>
      </c>
      <c r="B265" s="89">
        <v>12</v>
      </c>
      <c r="C265" s="89">
        <v>3</v>
      </c>
      <c r="D265" s="89" t="s">
        <v>27</v>
      </c>
      <c r="E265" s="89">
        <v>1</v>
      </c>
      <c r="F265" s="89">
        <v>0</v>
      </c>
      <c r="G265" s="89">
        <v>2800</v>
      </c>
      <c r="H265" s="89">
        <v>30</v>
      </c>
      <c r="I265" s="89">
        <v>7</v>
      </c>
      <c r="J265" s="89">
        <v>2</v>
      </c>
      <c r="K265" s="89">
        <v>1</v>
      </c>
      <c r="L265" s="89">
        <v>9.8</v>
      </c>
      <c r="M265" s="89">
        <v>0.052793</v>
      </c>
      <c r="N265" s="89">
        <v>80</v>
      </c>
      <c r="O265" s="89">
        <v>200</v>
      </c>
      <c r="P265" s="89">
        <v>30</v>
      </c>
      <c r="Q265" s="89">
        <v>0.31</v>
      </c>
      <c r="R265" s="89" t="s">
        <v>90</v>
      </c>
      <c r="S265" s="89" t="s">
        <v>90</v>
      </c>
      <c r="T265" s="89" t="s">
        <v>90</v>
      </c>
      <c r="U265" s="90" t="s">
        <v>90</v>
      </c>
    </row>
    <row r="266" spans="1:21">
      <c r="A266" s="88">
        <v>265</v>
      </c>
      <c r="B266" s="89">
        <v>12</v>
      </c>
      <c r="C266" s="89">
        <v>11</v>
      </c>
      <c r="D266" s="89" t="s">
        <v>27</v>
      </c>
      <c r="E266" s="89">
        <v>1</v>
      </c>
      <c r="F266" s="89">
        <v>0</v>
      </c>
      <c r="G266" s="89">
        <v>2218.74215137283</v>
      </c>
      <c r="H266" s="89">
        <v>0</v>
      </c>
      <c r="I266" s="89">
        <v>100</v>
      </c>
      <c r="J266" s="89">
        <v>0</v>
      </c>
      <c r="K266" s="89">
        <v>0</v>
      </c>
      <c r="L266" s="89">
        <v>6.65</v>
      </c>
      <c r="M266" s="89">
        <v>0</v>
      </c>
      <c r="N266" s="89">
        <v>0</v>
      </c>
      <c r="O266" s="89">
        <v>420</v>
      </c>
      <c r="P266" s="89">
        <v>25</v>
      </c>
      <c r="Q266" s="89">
        <v>0</v>
      </c>
      <c r="R266" s="89" t="s">
        <v>90</v>
      </c>
      <c r="S266" s="89" t="s">
        <v>90</v>
      </c>
      <c r="T266" s="89" t="s">
        <v>90</v>
      </c>
      <c r="U266" s="90" t="s">
        <v>90</v>
      </c>
    </row>
    <row r="267" spans="1:21">
      <c r="A267" s="88">
        <v>266</v>
      </c>
      <c r="B267" s="89">
        <v>12</v>
      </c>
      <c r="C267" s="89">
        <v>12</v>
      </c>
      <c r="D267" s="89" t="s">
        <v>27</v>
      </c>
      <c r="E267" s="89">
        <v>1</v>
      </c>
      <c r="F267" s="89">
        <v>0</v>
      </c>
      <c r="G267" s="89">
        <v>43707.3019647877</v>
      </c>
      <c r="H267" s="89">
        <v>0</v>
      </c>
      <c r="I267" s="89">
        <v>100</v>
      </c>
      <c r="J267" s="89">
        <v>0</v>
      </c>
      <c r="K267" s="89">
        <v>0</v>
      </c>
      <c r="L267" s="89">
        <v>6.3</v>
      </c>
      <c r="M267" s="89">
        <v>0</v>
      </c>
      <c r="N267" s="89">
        <v>0</v>
      </c>
      <c r="O267" s="89">
        <v>420</v>
      </c>
      <c r="P267" s="89">
        <v>25</v>
      </c>
      <c r="Q267" s="89">
        <v>0</v>
      </c>
      <c r="R267" s="89" t="s">
        <v>90</v>
      </c>
      <c r="S267" s="89" t="s">
        <v>90</v>
      </c>
      <c r="T267" s="89" t="s">
        <v>90</v>
      </c>
      <c r="U267" s="90" t="s">
        <v>90</v>
      </c>
    </row>
    <row r="268" spans="1:21">
      <c r="A268" s="88">
        <v>267</v>
      </c>
      <c r="B268" s="89">
        <v>12</v>
      </c>
      <c r="C268" s="89">
        <v>14</v>
      </c>
      <c r="D268" s="89" t="s">
        <v>27</v>
      </c>
      <c r="E268" s="89">
        <v>1</v>
      </c>
      <c r="F268" s="89">
        <v>0</v>
      </c>
      <c r="G268" s="89">
        <v>2518.81561388507</v>
      </c>
      <c r="H268" s="89">
        <v>0</v>
      </c>
      <c r="I268" s="89">
        <v>100</v>
      </c>
      <c r="J268" s="89">
        <v>0</v>
      </c>
      <c r="K268" s="89">
        <v>0</v>
      </c>
      <c r="L268" s="89">
        <v>14.6</v>
      </c>
      <c r="M268" s="89">
        <v>0</v>
      </c>
      <c r="N268" s="89">
        <v>0</v>
      </c>
      <c r="O268" s="89">
        <v>520</v>
      </c>
      <c r="P268" s="89">
        <v>25</v>
      </c>
      <c r="Q268" s="89">
        <v>0</v>
      </c>
      <c r="R268" s="89" t="s">
        <v>90</v>
      </c>
      <c r="S268" s="89" t="s">
        <v>90</v>
      </c>
      <c r="T268" s="89" t="s">
        <v>90</v>
      </c>
      <c r="U268" s="90" t="s">
        <v>90</v>
      </c>
    </row>
    <row r="269" spans="1:21">
      <c r="A269" s="88">
        <v>268</v>
      </c>
      <c r="B269" s="89">
        <v>12</v>
      </c>
      <c r="C269" s="89">
        <v>15</v>
      </c>
      <c r="D269" s="89" t="s">
        <v>27</v>
      </c>
      <c r="E269" s="89">
        <v>1</v>
      </c>
      <c r="F269" s="89">
        <v>0</v>
      </c>
      <c r="G269" s="89">
        <v>9395.66483338725</v>
      </c>
      <c r="H269" s="89">
        <v>0</v>
      </c>
      <c r="I269" s="89">
        <v>100</v>
      </c>
      <c r="J269" s="89">
        <v>0</v>
      </c>
      <c r="K269" s="89">
        <v>0</v>
      </c>
      <c r="L269" s="89">
        <v>43.45</v>
      </c>
      <c r="M269" s="89">
        <v>0</v>
      </c>
      <c r="N269" s="89">
        <v>0</v>
      </c>
      <c r="O269" s="89">
        <v>1400</v>
      </c>
      <c r="P269" s="89">
        <v>25</v>
      </c>
      <c r="Q269" s="89">
        <v>0</v>
      </c>
      <c r="R269" s="89" t="s">
        <v>90</v>
      </c>
      <c r="S269" s="89" t="s">
        <v>90</v>
      </c>
      <c r="T269" s="89" t="s">
        <v>90</v>
      </c>
      <c r="U269" s="90" t="s">
        <v>90</v>
      </c>
    </row>
    <row r="270" spans="1:21">
      <c r="A270" s="88">
        <v>269</v>
      </c>
      <c r="B270" s="89">
        <v>13</v>
      </c>
      <c r="C270" s="89">
        <v>3</v>
      </c>
      <c r="D270" s="89" t="s">
        <v>27</v>
      </c>
      <c r="E270" s="89">
        <v>1</v>
      </c>
      <c r="F270" s="89">
        <v>0</v>
      </c>
      <c r="G270" s="89">
        <v>2800</v>
      </c>
      <c r="H270" s="89">
        <v>30</v>
      </c>
      <c r="I270" s="89">
        <v>7</v>
      </c>
      <c r="J270" s="89">
        <v>2</v>
      </c>
      <c r="K270" s="89">
        <v>1</v>
      </c>
      <c r="L270" s="89">
        <v>9.8</v>
      </c>
      <c r="M270" s="89">
        <v>0.052793</v>
      </c>
      <c r="N270" s="89">
        <v>80</v>
      </c>
      <c r="O270" s="89">
        <v>200</v>
      </c>
      <c r="P270" s="89">
        <v>30</v>
      </c>
      <c r="Q270" s="89">
        <v>0.31</v>
      </c>
      <c r="R270" s="89" t="s">
        <v>90</v>
      </c>
      <c r="S270" s="89" t="s">
        <v>90</v>
      </c>
      <c r="T270" s="89" t="s">
        <v>90</v>
      </c>
      <c r="U270" s="90" t="s">
        <v>90</v>
      </c>
    </row>
    <row r="271" spans="1:21">
      <c r="A271" s="88">
        <v>270</v>
      </c>
      <c r="B271" s="89">
        <v>13</v>
      </c>
      <c r="C271" s="89">
        <v>5</v>
      </c>
      <c r="D271" s="89" t="s">
        <v>27</v>
      </c>
      <c r="E271" s="89">
        <v>1</v>
      </c>
      <c r="F271" s="89">
        <v>0</v>
      </c>
      <c r="G271" s="89">
        <v>20000</v>
      </c>
      <c r="H271" s="89">
        <v>70</v>
      </c>
      <c r="I271" s="89">
        <v>0</v>
      </c>
      <c r="J271" s="89">
        <v>48</v>
      </c>
      <c r="K271" s="89">
        <v>12</v>
      </c>
      <c r="L271" s="89">
        <v>55.64</v>
      </c>
      <c r="M271" s="89">
        <v>0.004784</v>
      </c>
      <c r="N271" s="89">
        <v>120</v>
      </c>
      <c r="O271" s="89">
        <v>1750</v>
      </c>
      <c r="P271" s="89">
        <v>60</v>
      </c>
      <c r="Q271" s="89">
        <v>0</v>
      </c>
      <c r="R271" s="89" t="s">
        <v>90</v>
      </c>
      <c r="S271" s="89" t="s">
        <v>90</v>
      </c>
      <c r="T271" s="89" t="s">
        <v>90</v>
      </c>
      <c r="U271" s="90" t="s">
        <v>90</v>
      </c>
    </row>
    <row r="272" spans="1:21">
      <c r="A272" s="88">
        <v>271</v>
      </c>
      <c r="B272" s="89">
        <v>13</v>
      </c>
      <c r="C272" s="89">
        <v>11</v>
      </c>
      <c r="D272" s="89" t="s">
        <v>27</v>
      </c>
      <c r="E272" s="89">
        <v>1</v>
      </c>
      <c r="F272" s="89">
        <v>0</v>
      </c>
      <c r="G272" s="89">
        <v>5464.95550036127</v>
      </c>
      <c r="H272" s="89">
        <v>0</v>
      </c>
      <c r="I272" s="89">
        <v>100</v>
      </c>
      <c r="J272" s="89">
        <v>0</v>
      </c>
      <c r="K272" s="89">
        <v>0</v>
      </c>
      <c r="L272" s="89">
        <v>6.65</v>
      </c>
      <c r="M272" s="89">
        <v>0</v>
      </c>
      <c r="N272" s="89">
        <v>0</v>
      </c>
      <c r="O272" s="89">
        <v>420</v>
      </c>
      <c r="P272" s="89">
        <v>25</v>
      </c>
      <c r="Q272" s="89">
        <v>0</v>
      </c>
      <c r="R272" s="89" t="s">
        <v>90</v>
      </c>
      <c r="S272" s="89" t="s">
        <v>90</v>
      </c>
      <c r="T272" s="89" t="s">
        <v>90</v>
      </c>
      <c r="U272" s="90" t="s">
        <v>90</v>
      </c>
    </row>
    <row r="273" spans="1:21">
      <c r="A273" s="88">
        <v>272</v>
      </c>
      <c r="B273" s="89">
        <v>13</v>
      </c>
      <c r="C273" s="89">
        <v>12</v>
      </c>
      <c r="D273" s="89" t="s">
        <v>27</v>
      </c>
      <c r="E273" s="89">
        <v>1</v>
      </c>
      <c r="F273" s="89">
        <v>0</v>
      </c>
      <c r="G273" s="89">
        <v>51056.0780576025</v>
      </c>
      <c r="H273" s="89">
        <v>0</v>
      </c>
      <c r="I273" s="89">
        <v>100</v>
      </c>
      <c r="J273" s="89">
        <v>0</v>
      </c>
      <c r="K273" s="89">
        <v>0</v>
      </c>
      <c r="L273" s="89">
        <v>6.3</v>
      </c>
      <c r="M273" s="89">
        <v>0</v>
      </c>
      <c r="N273" s="89">
        <v>0</v>
      </c>
      <c r="O273" s="89">
        <v>420</v>
      </c>
      <c r="P273" s="89">
        <v>25</v>
      </c>
      <c r="Q273" s="89">
        <v>0</v>
      </c>
      <c r="R273" s="89" t="s">
        <v>90</v>
      </c>
      <c r="S273" s="89" t="s">
        <v>90</v>
      </c>
      <c r="T273" s="89" t="s">
        <v>90</v>
      </c>
      <c r="U273" s="90" t="s">
        <v>90</v>
      </c>
    </row>
    <row r="274" spans="1:21">
      <c r="A274" s="88">
        <v>273</v>
      </c>
      <c r="B274" s="89">
        <v>13</v>
      </c>
      <c r="C274" s="89">
        <v>14</v>
      </c>
      <c r="D274" s="89" t="s">
        <v>27</v>
      </c>
      <c r="E274" s="89">
        <v>1</v>
      </c>
      <c r="F274" s="89">
        <v>0</v>
      </c>
      <c r="G274" s="89">
        <v>5174.1718744572</v>
      </c>
      <c r="H274" s="89">
        <v>0</v>
      </c>
      <c r="I274" s="89">
        <v>100</v>
      </c>
      <c r="J274" s="89">
        <v>0</v>
      </c>
      <c r="K274" s="89">
        <v>0</v>
      </c>
      <c r="L274" s="89">
        <v>14.6</v>
      </c>
      <c r="M274" s="89">
        <v>0</v>
      </c>
      <c r="N274" s="89">
        <v>0</v>
      </c>
      <c r="O274" s="89">
        <v>520</v>
      </c>
      <c r="P274" s="89">
        <v>25</v>
      </c>
      <c r="Q274" s="89">
        <v>0</v>
      </c>
      <c r="R274" s="89" t="s">
        <v>90</v>
      </c>
      <c r="S274" s="89" t="s">
        <v>90</v>
      </c>
      <c r="T274" s="89" t="s">
        <v>90</v>
      </c>
      <c r="U274" s="90" t="s">
        <v>90</v>
      </c>
    </row>
    <row r="275" spans="1:21">
      <c r="A275" s="88">
        <v>274</v>
      </c>
      <c r="B275" s="89">
        <v>14</v>
      </c>
      <c r="C275" s="89">
        <v>1</v>
      </c>
      <c r="D275" s="89" t="s">
        <v>27</v>
      </c>
      <c r="E275" s="89">
        <v>1</v>
      </c>
      <c r="F275" s="89">
        <v>0</v>
      </c>
      <c r="G275" s="89">
        <v>-1</v>
      </c>
      <c r="H275" s="89">
        <v>35</v>
      </c>
      <c r="I275" s="89">
        <v>3</v>
      </c>
      <c r="J275" s="89">
        <v>48</v>
      </c>
      <c r="K275" s="89">
        <v>12</v>
      </c>
      <c r="L275" s="89">
        <v>6.2</v>
      </c>
      <c r="M275" s="89">
        <v>0.0258928755364807</v>
      </c>
      <c r="N275" s="89">
        <v>100</v>
      </c>
      <c r="O275" s="89">
        <v>350</v>
      </c>
      <c r="P275" s="89">
        <v>30</v>
      </c>
      <c r="Q275" s="89">
        <v>0.76</v>
      </c>
      <c r="R275" s="89" t="s">
        <v>90</v>
      </c>
      <c r="S275" s="89" t="s">
        <v>90</v>
      </c>
      <c r="T275" s="89" t="s">
        <v>90</v>
      </c>
      <c r="U275" s="90" t="s">
        <v>90</v>
      </c>
    </row>
    <row r="276" spans="1:21">
      <c r="A276" s="88">
        <v>275</v>
      </c>
      <c r="B276" s="89">
        <v>14</v>
      </c>
      <c r="C276" s="89">
        <v>2</v>
      </c>
      <c r="D276" s="89" t="s">
        <v>27</v>
      </c>
      <c r="E276" s="89">
        <v>1</v>
      </c>
      <c r="F276" s="89">
        <v>0</v>
      </c>
      <c r="G276" s="89">
        <v>-1</v>
      </c>
      <c r="H276" s="89">
        <v>50</v>
      </c>
      <c r="I276" s="89">
        <v>1</v>
      </c>
      <c r="J276" s="89">
        <v>24</v>
      </c>
      <c r="K276" s="89">
        <v>6</v>
      </c>
      <c r="L276" s="89">
        <v>6.2</v>
      </c>
      <c r="M276" s="89">
        <v>0.029005</v>
      </c>
      <c r="N276" s="89">
        <v>30</v>
      </c>
      <c r="O276" s="89">
        <v>420</v>
      </c>
      <c r="P276" s="89">
        <v>30</v>
      </c>
      <c r="Q276" s="89">
        <v>0.85</v>
      </c>
      <c r="R276" s="89" t="s">
        <v>90</v>
      </c>
      <c r="S276" s="89" t="s">
        <v>90</v>
      </c>
      <c r="T276" s="89" t="s">
        <v>90</v>
      </c>
      <c r="U276" s="90" t="s">
        <v>90</v>
      </c>
    </row>
    <row r="277" spans="1:21">
      <c r="A277" s="88">
        <v>276</v>
      </c>
      <c r="B277" s="89">
        <v>14</v>
      </c>
      <c r="C277" s="89">
        <v>3</v>
      </c>
      <c r="D277" s="89" t="s">
        <v>27</v>
      </c>
      <c r="E277" s="89">
        <v>1</v>
      </c>
      <c r="F277" s="89">
        <v>0</v>
      </c>
      <c r="G277" s="89">
        <v>8400</v>
      </c>
      <c r="H277" s="89">
        <v>30</v>
      </c>
      <c r="I277" s="89">
        <v>7</v>
      </c>
      <c r="J277" s="89">
        <v>2</v>
      </c>
      <c r="K277" s="89">
        <v>1</v>
      </c>
      <c r="L277" s="89">
        <v>9.8</v>
      </c>
      <c r="M277" s="89">
        <v>0.052793</v>
      </c>
      <c r="N277" s="89">
        <v>80</v>
      </c>
      <c r="O277" s="89">
        <v>200</v>
      </c>
      <c r="P277" s="89">
        <v>30</v>
      </c>
      <c r="Q277" s="89">
        <v>0.31</v>
      </c>
      <c r="R277" s="89" t="s">
        <v>90</v>
      </c>
      <c r="S277" s="89" t="s">
        <v>90</v>
      </c>
      <c r="T277" s="89" t="s">
        <v>90</v>
      </c>
      <c r="U277" s="90" t="s">
        <v>90</v>
      </c>
    </row>
    <row r="278" spans="1:21">
      <c r="A278" s="88">
        <v>277</v>
      </c>
      <c r="B278" s="89">
        <v>14</v>
      </c>
      <c r="C278" s="89">
        <v>11</v>
      </c>
      <c r="D278" s="89" t="s">
        <v>27</v>
      </c>
      <c r="E278" s="89">
        <v>1</v>
      </c>
      <c r="F278" s="89">
        <v>0</v>
      </c>
      <c r="G278" s="89">
        <v>405.032124277457</v>
      </c>
      <c r="H278" s="89">
        <v>0</v>
      </c>
      <c r="I278" s="89">
        <v>100</v>
      </c>
      <c r="J278" s="89">
        <v>0</v>
      </c>
      <c r="K278" s="89">
        <v>0</v>
      </c>
      <c r="L278" s="89">
        <v>6.65</v>
      </c>
      <c r="M278" s="89">
        <v>0</v>
      </c>
      <c r="N278" s="89">
        <v>0</v>
      </c>
      <c r="O278" s="89">
        <v>420</v>
      </c>
      <c r="P278" s="89">
        <v>25</v>
      </c>
      <c r="Q278" s="89">
        <v>0</v>
      </c>
      <c r="R278" s="89" t="s">
        <v>90</v>
      </c>
      <c r="S278" s="89" t="s">
        <v>90</v>
      </c>
      <c r="T278" s="89" t="s">
        <v>90</v>
      </c>
      <c r="U278" s="90" t="s">
        <v>90</v>
      </c>
    </row>
    <row r="279" spans="1:21">
      <c r="A279" s="88">
        <v>278</v>
      </c>
      <c r="B279" s="89">
        <v>14</v>
      </c>
      <c r="C279" s="89">
        <v>12</v>
      </c>
      <c r="D279" s="89" t="s">
        <v>27</v>
      </c>
      <c r="E279" s="89">
        <v>1</v>
      </c>
      <c r="F279" s="89">
        <v>0</v>
      </c>
      <c r="G279" s="89">
        <v>56958.9911889964</v>
      </c>
      <c r="H279" s="89">
        <v>0</v>
      </c>
      <c r="I279" s="89">
        <v>100</v>
      </c>
      <c r="J279" s="89">
        <v>0</v>
      </c>
      <c r="K279" s="89">
        <v>0</v>
      </c>
      <c r="L279" s="89">
        <v>6.3</v>
      </c>
      <c r="M279" s="89">
        <v>0</v>
      </c>
      <c r="N279" s="89">
        <v>0</v>
      </c>
      <c r="O279" s="89">
        <v>420</v>
      </c>
      <c r="P279" s="89">
        <v>25</v>
      </c>
      <c r="Q279" s="89">
        <v>0</v>
      </c>
      <c r="R279" s="89" t="s">
        <v>90</v>
      </c>
      <c r="S279" s="89" t="s">
        <v>90</v>
      </c>
      <c r="T279" s="89" t="s">
        <v>90</v>
      </c>
      <c r="U279" s="90" t="s">
        <v>90</v>
      </c>
    </row>
    <row r="280" spans="1:21">
      <c r="A280" s="88">
        <v>279</v>
      </c>
      <c r="B280" s="89">
        <v>14</v>
      </c>
      <c r="C280" s="89">
        <v>14</v>
      </c>
      <c r="D280" s="89" t="s">
        <v>27</v>
      </c>
      <c r="E280" s="89">
        <v>1</v>
      </c>
      <c r="F280" s="89">
        <v>0</v>
      </c>
      <c r="G280" s="89">
        <v>36779.7384075999</v>
      </c>
      <c r="H280" s="89">
        <v>0</v>
      </c>
      <c r="I280" s="89">
        <v>100</v>
      </c>
      <c r="J280" s="89">
        <v>0</v>
      </c>
      <c r="K280" s="89">
        <v>0</v>
      </c>
      <c r="L280" s="89">
        <v>14.6</v>
      </c>
      <c r="M280" s="89">
        <v>0</v>
      </c>
      <c r="N280" s="89">
        <v>0</v>
      </c>
      <c r="O280" s="89">
        <v>520</v>
      </c>
      <c r="P280" s="89">
        <v>25</v>
      </c>
      <c r="Q280" s="89">
        <v>0</v>
      </c>
      <c r="R280" s="89" t="s">
        <v>90</v>
      </c>
      <c r="S280" s="89" t="s">
        <v>90</v>
      </c>
      <c r="T280" s="89" t="s">
        <v>90</v>
      </c>
      <c r="U280" s="90" t="s">
        <v>90</v>
      </c>
    </row>
    <row r="281" spans="1:21">
      <c r="A281" s="88">
        <v>280</v>
      </c>
      <c r="B281" s="89">
        <v>14</v>
      </c>
      <c r="C281" s="89">
        <v>15</v>
      </c>
      <c r="D281" s="89" t="s">
        <v>27</v>
      </c>
      <c r="E281" s="89">
        <v>1</v>
      </c>
      <c r="F281" s="89">
        <v>0</v>
      </c>
      <c r="G281" s="89">
        <v>27260.3256766958</v>
      </c>
      <c r="H281" s="89">
        <v>0</v>
      </c>
      <c r="I281" s="89">
        <v>100</v>
      </c>
      <c r="J281" s="89">
        <v>0</v>
      </c>
      <c r="K281" s="89">
        <v>0</v>
      </c>
      <c r="L281" s="89">
        <v>43.45</v>
      </c>
      <c r="M281" s="89">
        <v>0</v>
      </c>
      <c r="N281" s="89">
        <v>0</v>
      </c>
      <c r="O281" s="89">
        <v>1400</v>
      </c>
      <c r="P281" s="89">
        <v>25</v>
      </c>
      <c r="Q281" s="89">
        <v>0</v>
      </c>
      <c r="R281" s="89" t="s">
        <v>90</v>
      </c>
      <c r="S281" s="89" t="s">
        <v>90</v>
      </c>
      <c r="T281" s="89" t="s">
        <v>90</v>
      </c>
      <c r="U281" s="90" t="s">
        <v>90</v>
      </c>
    </row>
    <row r="282" spans="1:21">
      <c r="A282" s="88">
        <v>281</v>
      </c>
      <c r="B282" s="89">
        <v>15</v>
      </c>
      <c r="C282" s="89">
        <v>1</v>
      </c>
      <c r="D282" s="89" t="s">
        <v>27</v>
      </c>
      <c r="E282" s="89">
        <v>1</v>
      </c>
      <c r="F282" s="89">
        <v>0</v>
      </c>
      <c r="G282" s="89">
        <v>-1</v>
      </c>
      <c r="H282" s="89">
        <v>35</v>
      </c>
      <c r="I282" s="89">
        <v>3</v>
      </c>
      <c r="J282" s="89">
        <v>48</v>
      </c>
      <c r="K282" s="89">
        <v>12</v>
      </c>
      <c r="L282" s="89">
        <v>6.2</v>
      </c>
      <c r="M282" s="89">
        <v>0.0258928755364807</v>
      </c>
      <c r="N282" s="89">
        <v>100</v>
      </c>
      <c r="O282" s="89">
        <v>350</v>
      </c>
      <c r="P282" s="89">
        <v>30</v>
      </c>
      <c r="Q282" s="89">
        <v>0.76</v>
      </c>
      <c r="R282" s="89" t="s">
        <v>90</v>
      </c>
      <c r="S282" s="89" t="s">
        <v>90</v>
      </c>
      <c r="T282" s="89" t="s">
        <v>90</v>
      </c>
      <c r="U282" s="90" t="s">
        <v>90</v>
      </c>
    </row>
    <row r="283" spans="1:21">
      <c r="A283" s="88">
        <v>282</v>
      </c>
      <c r="B283" s="89">
        <v>15</v>
      </c>
      <c r="C283" s="89">
        <v>2</v>
      </c>
      <c r="D283" s="89" t="s">
        <v>27</v>
      </c>
      <c r="E283" s="89">
        <v>1</v>
      </c>
      <c r="F283" s="89">
        <v>0</v>
      </c>
      <c r="G283" s="89">
        <v>-1</v>
      </c>
      <c r="H283" s="89">
        <v>50</v>
      </c>
      <c r="I283" s="89">
        <v>1</v>
      </c>
      <c r="J283" s="89">
        <v>24</v>
      </c>
      <c r="K283" s="89">
        <v>6</v>
      </c>
      <c r="L283" s="89">
        <v>6.2</v>
      </c>
      <c r="M283" s="89">
        <v>0.029005</v>
      </c>
      <c r="N283" s="89">
        <v>30</v>
      </c>
      <c r="O283" s="89">
        <v>420</v>
      </c>
      <c r="P283" s="89">
        <v>30</v>
      </c>
      <c r="Q283" s="89">
        <v>0.85</v>
      </c>
      <c r="R283" s="89" t="s">
        <v>90</v>
      </c>
      <c r="S283" s="89" t="s">
        <v>90</v>
      </c>
      <c r="T283" s="89" t="s">
        <v>90</v>
      </c>
      <c r="U283" s="90" t="s">
        <v>90</v>
      </c>
    </row>
    <row r="284" spans="1:21">
      <c r="A284" s="88">
        <v>283</v>
      </c>
      <c r="B284" s="89">
        <v>15</v>
      </c>
      <c r="C284" s="89">
        <v>3</v>
      </c>
      <c r="D284" s="89" t="s">
        <v>27</v>
      </c>
      <c r="E284" s="89">
        <v>1</v>
      </c>
      <c r="F284" s="89">
        <v>0</v>
      </c>
      <c r="G284" s="89">
        <v>5600</v>
      </c>
      <c r="H284" s="89">
        <v>30</v>
      </c>
      <c r="I284" s="89">
        <v>7</v>
      </c>
      <c r="J284" s="89">
        <v>2</v>
      </c>
      <c r="K284" s="89">
        <v>1</v>
      </c>
      <c r="L284" s="89">
        <v>9.8</v>
      </c>
      <c r="M284" s="89">
        <v>0.052793</v>
      </c>
      <c r="N284" s="89">
        <v>80</v>
      </c>
      <c r="O284" s="89">
        <v>200</v>
      </c>
      <c r="P284" s="89">
        <v>30</v>
      </c>
      <c r="Q284" s="89">
        <v>0.31</v>
      </c>
      <c r="R284" s="89" t="s">
        <v>90</v>
      </c>
      <c r="S284" s="89" t="s">
        <v>90</v>
      </c>
      <c r="T284" s="89" t="s">
        <v>90</v>
      </c>
      <c r="U284" s="90" t="s">
        <v>90</v>
      </c>
    </row>
    <row r="285" spans="1:21">
      <c r="A285" s="88">
        <v>284</v>
      </c>
      <c r="B285" s="89">
        <v>15</v>
      </c>
      <c r="C285" s="89">
        <v>11</v>
      </c>
      <c r="D285" s="89" t="s">
        <v>27</v>
      </c>
      <c r="E285" s="89">
        <v>1</v>
      </c>
      <c r="F285" s="89">
        <v>0</v>
      </c>
      <c r="G285" s="89">
        <v>5360.71929190751</v>
      </c>
      <c r="H285" s="89">
        <v>0</v>
      </c>
      <c r="I285" s="89">
        <v>100</v>
      </c>
      <c r="J285" s="89">
        <v>0</v>
      </c>
      <c r="K285" s="89">
        <v>0</v>
      </c>
      <c r="L285" s="89">
        <v>6.65</v>
      </c>
      <c r="M285" s="89">
        <v>0</v>
      </c>
      <c r="N285" s="89">
        <v>0</v>
      </c>
      <c r="O285" s="89">
        <v>420</v>
      </c>
      <c r="P285" s="89">
        <v>25</v>
      </c>
      <c r="Q285" s="89">
        <v>0</v>
      </c>
      <c r="R285" s="89" t="s">
        <v>90</v>
      </c>
      <c r="S285" s="89" t="s">
        <v>90</v>
      </c>
      <c r="T285" s="89" t="s">
        <v>90</v>
      </c>
      <c r="U285" s="90" t="s">
        <v>90</v>
      </c>
    </row>
    <row r="286" spans="1:21">
      <c r="A286" s="88">
        <v>285</v>
      </c>
      <c r="B286" s="89">
        <v>15</v>
      </c>
      <c r="C286" s="89">
        <v>12</v>
      </c>
      <c r="D286" s="89" t="s">
        <v>27</v>
      </c>
      <c r="E286" s="89">
        <v>1</v>
      </c>
      <c r="F286" s="89">
        <v>0</v>
      </c>
      <c r="G286" s="89">
        <v>88006.3255089633</v>
      </c>
      <c r="H286" s="89">
        <v>0</v>
      </c>
      <c r="I286" s="89">
        <v>100</v>
      </c>
      <c r="J286" s="89">
        <v>0</v>
      </c>
      <c r="K286" s="89">
        <v>0</v>
      </c>
      <c r="L286" s="89">
        <v>6.3</v>
      </c>
      <c r="M286" s="89">
        <v>0</v>
      </c>
      <c r="N286" s="89">
        <v>0</v>
      </c>
      <c r="O286" s="89">
        <v>420</v>
      </c>
      <c r="P286" s="89">
        <v>25</v>
      </c>
      <c r="Q286" s="89">
        <v>0</v>
      </c>
      <c r="R286" s="89" t="s">
        <v>90</v>
      </c>
      <c r="S286" s="89" t="s">
        <v>90</v>
      </c>
      <c r="T286" s="89" t="s">
        <v>90</v>
      </c>
      <c r="U286" s="90" t="s">
        <v>90</v>
      </c>
    </row>
    <row r="287" spans="1:21">
      <c r="A287" s="88">
        <v>286</v>
      </c>
      <c r="B287" s="89">
        <v>15</v>
      </c>
      <c r="C287" s="89">
        <v>14</v>
      </c>
      <c r="D287" s="89" t="s">
        <v>27</v>
      </c>
      <c r="E287" s="89">
        <v>1</v>
      </c>
      <c r="F287" s="89">
        <v>0</v>
      </c>
      <c r="G287" s="89">
        <v>4940.61550512406</v>
      </c>
      <c r="H287" s="89">
        <v>0</v>
      </c>
      <c r="I287" s="89">
        <v>100</v>
      </c>
      <c r="J287" s="89">
        <v>0</v>
      </c>
      <c r="K287" s="89">
        <v>0</v>
      </c>
      <c r="L287" s="89">
        <v>14.6</v>
      </c>
      <c r="M287" s="89">
        <v>0</v>
      </c>
      <c r="N287" s="89">
        <v>0</v>
      </c>
      <c r="O287" s="89">
        <v>520</v>
      </c>
      <c r="P287" s="89">
        <v>25</v>
      </c>
      <c r="Q287" s="89">
        <v>0</v>
      </c>
      <c r="R287" s="89" t="s">
        <v>90</v>
      </c>
      <c r="S287" s="89" t="s">
        <v>90</v>
      </c>
      <c r="T287" s="89" t="s">
        <v>90</v>
      </c>
      <c r="U287" s="90" t="s">
        <v>90</v>
      </c>
    </row>
    <row r="288" spans="1:21">
      <c r="A288" s="88">
        <v>287</v>
      </c>
      <c r="B288" s="89">
        <v>16</v>
      </c>
      <c r="C288" s="89">
        <v>1</v>
      </c>
      <c r="D288" s="89" t="s">
        <v>27</v>
      </c>
      <c r="E288" s="89">
        <v>1</v>
      </c>
      <c r="F288" s="89">
        <v>0</v>
      </c>
      <c r="G288" s="89">
        <v>-1</v>
      </c>
      <c r="H288" s="89">
        <v>35</v>
      </c>
      <c r="I288" s="89">
        <v>3</v>
      </c>
      <c r="J288" s="89">
        <v>48</v>
      </c>
      <c r="K288" s="89">
        <v>12</v>
      </c>
      <c r="L288" s="89">
        <v>6.2</v>
      </c>
      <c r="M288" s="89">
        <v>0.0258928755364807</v>
      </c>
      <c r="N288" s="89">
        <v>100</v>
      </c>
      <c r="O288" s="89">
        <v>350</v>
      </c>
      <c r="P288" s="89">
        <v>30</v>
      </c>
      <c r="Q288" s="89">
        <v>0.76</v>
      </c>
      <c r="R288" s="89" t="s">
        <v>90</v>
      </c>
      <c r="S288" s="89" t="s">
        <v>90</v>
      </c>
      <c r="T288" s="89" t="s">
        <v>90</v>
      </c>
      <c r="U288" s="90" t="s">
        <v>90</v>
      </c>
    </row>
    <row r="289" spans="1:21">
      <c r="A289" s="88">
        <v>288</v>
      </c>
      <c r="B289" s="89">
        <v>16</v>
      </c>
      <c r="C289" s="89">
        <v>2</v>
      </c>
      <c r="D289" s="89" t="s">
        <v>27</v>
      </c>
      <c r="E289" s="89">
        <v>1</v>
      </c>
      <c r="F289" s="89">
        <v>0</v>
      </c>
      <c r="G289" s="89">
        <v>-1</v>
      </c>
      <c r="H289" s="89">
        <v>50</v>
      </c>
      <c r="I289" s="89">
        <v>1</v>
      </c>
      <c r="J289" s="89">
        <v>24</v>
      </c>
      <c r="K289" s="89">
        <v>6</v>
      </c>
      <c r="L289" s="89">
        <v>6.2</v>
      </c>
      <c r="M289" s="89">
        <v>0.029005</v>
      </c>
      <c r="N289" s="89">
        <v>30</v>
      </c>
      <c r="O289" s="89">
        <v>420</v>
      </c>
      <c r="P289" s="89">
        <v>30</v>
      </c>
      <c r="Q289" s="89">
        <v>0.85</v>
      </c>
      <c r="R289" s="89" t="s">
        <v>90</v>
      </c>
      <c r="S289" s="89" t="s">
        <v>90</v>
      </c>
      <c r="T289" s="89" t="s">
        <v>90</v>
      </c>
      <c r="U289" s="90" t="s">
        <v>90</v>
      </c>
    </row>
    <row r="290" spans="1:21">
      <c r="A290" s="88">
        <v>289</v>
      </c>
      <c r="B290" s="89">
        <v>16</v>
      </c>
      <c r="C290" s="89">
        <v>3</v>
      </c>
      <c r="D290" s="89" t="s">
        <v>27</v>
      </c>
      <c r="E290" s="89">
        <v>1</v>
      </c>
      <c r="F290" s="89">
        <v>0</v>
      </c>
      <c r="G290" s="89">
        <v>2800</v>
      </c>
      <c r="H290" s="89">
        <v>30</v>
      </c>
      <c r="I290" s="89">
        <v>7</v>
      </c>
      <c r="J290" s="89">
        <v>2</v>
      </c>
      <c r="K290" s="89">
        <v>1</v>
      </c>
      <c r="L290" s="89">
        <v>9.8</v>
      </c>
      <c r="M290" s="89">
        <v>0.052793</v>
      </c>
      <c r="N290" s="89">
        <v>80</v>
      </c>
      <c r="O290" s="89">
        <v>200</v>
      </c>
      <c r="P290" s="89">
        <v>30</v>
      </c>
      <c r="Q290" s="89">
        <v>0.31</v>
      </c>
      <c r="R290" s="89" t="s">
        <v>90</v>
      </c>
      <c r="S290" s="89" t="s">
        <v>90</v>
      </c>
      <c r="T290" s="89" t="s">
        <v>90</v>
      </c>
      <c r="U290" s="90" t="s">
        <v>90</v>
      </c>
    </row>
    <row r="291" spans="1:21">
      <c r="A291" s="88">
        <v>290</v>
      </c>
      <c r="B291" s="89">
        <v>16</v>
      </c>
      <c r="C291" s="89">
        <v>11</v>
      </c>
      <c r="D291" s="89" t="s">
        <v>27</v>
      </c>
      <c r="E291" s="89">
        <v>1</v>
      </c>
      <c r="F291" s="89">
        <v>0</v>
      </c>
      <c r="G291" s="89">
        <v>14414.3785404624</v>
      </c>
      <c r="H291" s="89">
        <v>0</v>
      </c>
      <c r="I291" s="89">
        <v>100</v>
      </c>
      <c r="J291" s="89">
        <v>0</v>
      </c>
      <c r="K291" s="89">
        <v>0</v>
      </c>
      <c r="L291" s="89">
        <v>6.65</v>
      </c>
      <c r="M291" s="89">
        <v>0</v>
      </c>
      <c r="N291" s="89">
        <v>0</v>
      </c>
      <c r="O291" s="89">
        <v>420</v>
      </c>
      <c r="P291" s="89">
        <v>25</v>
      </c>
      <c r="Q291" s="89">
        <v>0</v>
      </c>
      <c r="R291" s="89" t="s">
        <v>90</v>
      </c>
      <c r="S291" s="89" t="s">
        <v>90</v>
      </c>
      <c r="T291" s="89" t="s">
        <v>90</v>
      </c>
      <c r="U291" s="90" t="s">
        <v>90</v>
      </c>
    </row>
    <row r="292" spans="1:21">
      <c r="A292" s="88">
        <v>291</v>
      </c>
      <c r="B292" s="89">
        <v>16</v>
      </c>
      <c r="C292" s="89">
        <v>12</v>
      </c>
      <c r="D292" s="89" t="s">
        <v>27</v>
      </c>
      <c r="E292" s="89">
        <v>1</v>
      </c>
      <c r="F292" s="89">
        <v>0</v>
      </c>
      <c r="G292" s="89">
        <v>78191.9747274489</v>
      </c>
      <c r="H292" s="89">
        <v>0</v>
      </c>
      <c r="I292" s="89">
        <v>100</v>
      </c>
      <c r="J292" s="89">
        <v>0</v>
      </c>
      <c r="K292" s="89">
        <v>0</v>
      </c>
      <c r="L292" s="89">
        <v>6.3</v>
      </c>
      <c r="M292" s="89">
        <v>0</v>
      </c>
      <c r="N292" s="89">
        <v>0</v>
      </c>
      <c r="O292" s="89">
        <v>420</v>
      </c>
      <c r="P292" s="89">
        <v>25</v>
      </c>
      <c r="Q292" s="89">
        <v>0</v>
      </c>
      <c r="R292" s="89" t="s">
        <v>90</v>
      </c>
      <c r="S292" s="89" t="s">
        <v>90</v>
      </c>
      <c r="T292" s="89" t="s">
        <v>90</v>
      </c>
      <c r="U292" s="90" t="s">
        <v>90</v>
      </c>
    </row>
    <row r="293" spans="1:21">
      <c r="A293" s="88">
        <v>292</v>
      </c>
      <c r="B293" s="89">
        <v>16</v>
      </c>
      <c r="C293" s="89">
        <v>14</v>
      </c>
      <c r="D293" s="89" t="s">
        <v>27</v>
      </c>
      <c r="E293" s="89">
        <v>1</v>
      </c>
      <c r="F293" s="89">
        <v>0</v>
      </c>
      <c r="G293" s="89">
        <v>3054.19867589487</v>
      </c>
      <c r="H293" s="89">
        <v>0</v>
      </c>
      <c r="I293" s="89">
        <v>100</v>
      </c>
      <c r="J293" s="89">
        <v>0</v>
      </c>
      <c r="K293" s="89">
        <v>0</v>
      </c>
      <c r="L293" s="89">
        <v>14.6</v>
      </c>
      <c r="M293" s="89">
        <v>0</v>
      </c>
      <c r="N293" s="89">
        <v>0</v>
      </c>
      <c r="O293" s="89">
        <v>520</v>
      </c>
      <c r="P293" s="89">
        <v>25</v>
      </c>
      <c r="Q293" s="89">
        <v>0</v>
      </c>
      <c r="R293" s="89" t="s">
        <v>90</v>
      </c>
      <c r="S293" s="89" t="s">
        <v>90</v>
      </c>
      <c r="T293" s="89" t="s">
        <v>90</v>
      </c>
      <c r="U293" s="90" t="s">
        <v>90</v>
      </c>
    </row>
    <row r="294" spans="1:21">
      <c r="A294" s="88">
        <v>293</v>
      </c>
      <c r="B294" s="89">
        <v>17</v>
      </c>
      <c r="C294" s="89">
        <v>1</v>
      </c>
      <c r="D294" s="89" t="s">
        <v>27</v>
      </c>
      <c r="E294" s="89">
        <v>1</v>
      </c>
      <c r="F294" s="89">
        <v>0</v>
      </c>
      <c r="G294" s="89">
        <v>-1</v>
      </c>
      <c r="H294" s="89">
        <v>35</v>
      </c>
      <c r="I294" s="89">
        <v>3</v>
      </c>
      <c r="J294" s="89">
        <v>48</v>
      </c>
      <c r="K294" s="89">
        <v>12</v>
      </c>
      <c r="L294" s="89">
        <v>6.2</v>
      </c>
      <c r="M294" s="89">
        <v>0.0258928755364807</v>
      </c>
      <c r="N294" s="89">
        <v>100</v>
      </c>
      <c r="O294" s="89">
        <v>350</v>
      </c>
      <c r="P294" s="89">
        <v>30</v>
      </c>
      <c r="Q294" s="89">
        <v>0.76</v>
      </c>
      <c r="R294" s="89" t="s">
        <v>90</v>
      </c>
      <c r="S294" s="89" t="s">
        <v>90</v>
      </c>
      <c r="T294" s="89" t="s">
        <v>90</v>
      </c>
      <c r="U294" s="90" t="s">
        <v>90</v>
      </c>
    </row>
    <row r="295" spans="1:21">
      <c r="A295" s="88">
        <v>294</v>
      </c>
      <c r="B295" s="89">
        <v>17</v>
      </c>
      <c r="C295" s="89">
        <v>2</v>
      </c>
      <c r="D295" s="89" t="s">
        <v>27</v>
      </c>
      <c r="E295" s="89">
        <v>1</v>
      </c>
      <c r="F295" s="89">
        <v>0</v>
      </c>
      <c r="G295" s="89">
        <v>-1</v>
      </c>
      <c r="H295" s="89">
        <v>50</v>
      </c>
      <c r="I295" s="89">
        <v>1</v>
      </c>
      <c r="J295" s="89">
        <v>24</v>
      </c>
      <c r="K295" s="89">
        <v>6</v>
      </c>
      <c r="L295" s="89">
        <v>6.2</v>
      </c>
      <c r="M295" s="89">
        <v>0.029005</v>
      </c>
      <c r="N295" s="89">
        <v>30</v>
      </c>
      <c r="O295" s="89">
        <v>420</v>
      </c>
      <c r="P295" s="89">
        <v>30</v>
      </c>
      <c r="Q295" s="89">
        <v>0.85</v>
      </c>
      <c r="R295" s="89" t="s">
        <v>90</v>
      </c>
      <c r="S295" s="89" t="s">
        <v>90</v>
      </c>
      <c r="T295" s="89" t="s">
        <v>90</v>
      </c>
      <c r="U295" s="90" t="s">
        <v>90</v>
      </c>
    </row>
    <row r="296" spans="1:21">
      <c r="A296" s="88">
        <v>295</v>
      </c>
      <c r="B296" s="89">
        <v>17</v>
      </c>
      <c r="C296" s="89">
        <v>3</v>
      </c>
      <c r="D296" s="89" t="s">
        <v>27</v>
      </c>
      <c r="E296" s="89">
        <v>1</v>
      </c>
      <c r="F296" s="89">
        <v>0</v>
      </c>
      <c r="G296" s="89">
        <v>2800</v>
      </c>
      <c r="H296" s="89">
        <v>30</v>
      </c>
      <c r="I296" s="89">
        <v>7</v>
      </c>
      <c r="J296" s="89">
        <v>2</v>
      </c>
      <c r="K296" s="89">
        <v>1</v>
      </c>
      <c r="L296" s="89">
        <v>9.8</v>
      </c>
      <c r="M296" s="89">
        <v>0.052793</v>
      </c>
      <c r="N296" s="89">
        <v>80</v>
      </c>
      <c r="O296" s="89">
        <v>200</v>
      </c>
      <c r="P296" s="89">
        <v>30</v>
      </c>
      <c r="Q296" s="89">
        <v>0.31</v>
      </c>
      <c r="R296" s="89" t="s">
        <v>90</v>
      </c>
      <c r="S296" s="89" t="s">
        <v>90</v>
      </c>
      <c r="T296" s="89" t="s">
        <v>90</v>
      </c>
      <c r="U296" s="90" t="s">
        <v>90</v>
      </c>
    </row>
    <row r="297" spans="1:21">
      <c r="A297" s="88">
        <v>296</v>
      </c>
      <c r="B297" s="89">
        <v>17</v>
      </c>
      <c r="C297" s="89">
        <v>12</v>
      </c>
      <c r="D297" s="89" t="s">
        <v>27</v>
      </c>
      <c r="E297" s="89">
        <v>1</v>
      </c>
      <c r="F297" s="89">
        <v>0</v>
      </c>
      <c r="G297" s="89">
        <v>26342.7799810835</v>
      </c>
      <c r="H297" s="89">
        <v>0</v>
      </c>
      <c r="I297" s="89">
        <v>100</v>
      </c>
      <c r="J297" s="89">
        <v>0</v>
      </c>
      <c r="K297" s="89">
        <v>0</v>
      </c>
      <c r="L297" s="89">
        <v>6.3</v>
      </c>
      <c r="M297" s="89">
        <v>0</v>
      </c>
      <c r="N297" s="89">
        <v>0</v>
      </c>
      <c r="O297" s="89">
        <v>420</v>
      </c>
      <c r="P297" s="89">
        <v>25</v>
      </c>
      <c r="Q297" s="89">
        <v>0</v>
      </c>
      <c r="R297" s="89" t="s">
        <v>90</v>
      </c>
      <c r="S297" s="89" t="s">
        <v>90</v>
      </c>
      <c r="T297" s="89" t="s">
        <v>90</v>
      </c>
      <c r="U297" s="90" t="s">
        <v>90</v>
      </c>
    </row>
    <row r="298" spans="1:21">
      <c r="A298" s="88">
        <v>297</v>
      </c>
      <c r="B298" s="89">
        <v>18</v>
      </c>
      <c r="C298" s="89">
        <v>1</v>
      </c>
      <c r="D298" s="89" t="s">
        <v>41</v>
      </c>
      <c r="E298" s="89">
        <v>1</v>
      </c>
      <c r="F298" s="89">
        <v>0</v>
      </c>
      <c r="G298" s="89">
        <v>-1</v>
      </c>
      <c r="H298" s="89">
        <v>35</v>
      </c>
      <c r="I298" s="89">
        <v>3</v>
      </c>
      <c r="J298" s="89">
        <v>48</v>
      </c>
      <c r="K298" s="89">
        <v>12</v>
      </c>
      <c r="L298" s="89">
        <v>6.2</v>
      </c>
      <c r="M298" s="89">
        <v>0.0272970987124464</v>
      </c>
      <c r="N298" s="89">
        <v>100</v>
      </c>
      <c r="O298" s="89">
        <v>350</v>
      </c>
      <c r="P298" s="89">
        <v>30</v>
      </c>
      <c r="Q298" s="89">
        <v>0.76</v>
      </c>
      <c r="R298" s="89" t="s">
        <v>90</v>
      </c>
      <c r="S298" s="89" t="s">
        <v>90</v>
      </c>
      <c r="T298" s="89" t="s">
        <v>90</v>
      </c>
      <c r="U298" s="90" t="s">
        <v>90</v>
      </c>
    </row>
    <row r="299" spans="1:21">
      <c r="A299" s="88">
        <v>298</v>
      </c>
      <c r="B299" s="89">
        <v>18</v>
      </c>
      <c r="C299" s="89">
        <v>2</v>
      </c>
      <c r="D299" s="89" t="s">
        <v>41</v>
      </c>
      <c r="E299" s="89">
        <v>1</v>
      </c>
      <c r="F299" s="89">
        <v>0</v>
      </c>
      <c r="G299" s="89">
        <v>-1</v>
      </c>
      <c r="H299" s="89">
        <v>50</v>
      </c>
      <c r="I299" s="89">
        <v>1</v>
      </c>
      <c r="J299" s="89">
        <v>24</v>
      </c>
      <c r="K299" s="89">
        <v>6</v>
      </c>
      <c r="L299" s="89">
        <v>6.2</v>
      </c>
      <c r="M299" s="89">
        <v>0.030578</v>
      </c>
      <c r="N299" s="89">
        <v>30</v>
      </c>
      <c r="O299" s="89">
        <v>420</v>
      </c>
      <c r="P299" s="89">
        <v>30</v>
      </c>
      <c r="Q299" s="89">
        <v>0.85</v>
      </c>
      <c r="R299" s="89" t="s">
        <v>90</v>
      </c>
      <c r="S299" s="89" t="s">
        <v>90</v>
      </c>
      <c r="T299" s="89" t="s">
        <v>90</v>
      </c>
      <c r="U299" s="90" t="s">
        <v>90</v>
      </c>
    </row>
    <row r="300" spans="1:21">
      <c r="A300" s="88">
        <v>299</v>
      </c>
      <c r="B300" s="89">
        <v>18</v>
      </c>
      <c r="C300" s="89">
        <v>3</v>
      </c>
      <c r="D300" s="89" t="s">
        <v>41</v>
      </c>
      <c r="E300" s="89">
        <v>1</v>
      </c>
      <c r="F300" s="89">
        <v>0</v>
      </c>
      <c r="G300" s="89">
        <v>4500</v>
      </c>
      <c r="H300" s="89">
        <v>30</v>
      </c>
      <c r="I300" s="89">
        <v>7</v>
      </c>
      <c r="J300" s="89">
        <v>2</v>
      </c>
      <c r="K300" s="89">
        <v>1</v>
      </c>
      <c r="L300" s="89">
        <v>9.8</v>
      </c>
      <c r="M300" s="89">
        <v>0.053048</v>
      </c>
      <c r="N300" s="89">
        <v>80</v>
      </c>
      <c r="O300" s="89">
        <v>200</v>
      </c>
      <c r="P300" s="89">
        <v>30</v>
      </c>
      <c r="Q300" s="89">
        <v>0.31</v>
      </c>
      <c r="R300" s="89" t="s">
        <v>90</v>
      </c>
      <c r="S300" s="89" t="s">
        <v>90</v>
      </c>
      <c r="T300" s="89" t="s">
        <v>90</v>
      </c>
      <c r="U300" s="90" t="s">
        <v>90</v>
      </c>
    </row>
    <row r="301" spans="1:21">
      <c r="A301" s="88">
        <v>300</v>
      </c>
      <c r="B301" s="89">
        <v>18</v>
      </c>
      <c r="C301" s="89">
        <v>4</v>
      </c>
      <c r="D301" s="89" t="s">
        <v>41</v>
      </c>
      <c r="E301" s="89">
        <v>1</v>
      </c>
      <c r="F301" s="89">
        <v>0</v>
      </c>
      <c r="G301" s="89">
        <v>1276</v>
      </c>
      <c r="H301" s="89">
        <v>0</v>
      </c>
      <c r="I301" s="89">
        <v>100</v>
      </c>
      <c r="J301" s="89">
        <v>0</v>
      </c>
      <c r="K301" s="89">
        <v>0</v>
      </c>
      <c r="L301" s="89">
        <v>25.93</v>
      </c>
      <c r="M301" s="89">
        <v>0</v>
      </c>
      <c r="N301" s="89">
        <v>0</v>
      </c>
      <c r="O301" s="89">
        <v>1400</v>
      </c>
      <c r="P301" s="89">
        <v>80</v>
      </c>
      <c r="Q301" s="89">
        <v>0</v>
      </c>
      <c r="R301" s="89" t="s">
        <v>90</v>
      </c>
      <c r="S301" s="89" t="s">
        <v>90</v>
      </c>
      <c r="T301" s="89" t="s">
        <v>90</v>
      </c>
      <c r="U301" s="90" t="s">
        <v>90</v>
      </c>
    </row>
    <row r="302" spans="1:21">
      <c r="A302" s="88">
        <v>301</v>
      </c>
      <c r="B302" s="89">
        <v>18</v>
      </c>
      <c r="C302" s="89">
        <v>12</v>
      </c>
      <c r="D302" s="89" t="s">
        <v>41</v>
      </c>
      <c r="E302" s="89">
        <v>1</v>
      </c>
      <c r="F302" s="89">
        <v>0</v>
      </c>
      <c r="G302" s="89">
        <v>22229.2291981274</v>
      </c>
      <c r="H302" s="89">
        <v>0</v>
      </c>
      <c r="I302" s="89">
        <v>100</v>
      </c>
      <c r="J302" s="89">
        <v>0</v>
      </c>
      <c r="K302" s="89">
        <v>0</v>
      </c>
      <c r="L302" s="89">
        <v>6.3</v>
      </c>
      <c r="M302" s="89">
        <v>0</v>
      </c>
      <c r="N302" s="89">
        <v>0</v>
      </c>
      <c r="O302" s="89">
        <v>420</v>
      </c>
      <c r="P302" s="89">
        <v>25</v>
      </c>
      <c r="Q302" s="89">
        <v>0</v>
      </c>
      <c r="R302" s="89" t="s">
        <v>90</v>
      </c>
      <c r="S302" s="89" t="s">
        <v>90</v>
      </c>
      <c r="T302" s="89" t="s">
        <v>90</v>
      </c>
      <c r="U302" s="90" t="s">
        <v>90</v>
      </c>
    </row>
    <row r="303" spans="1:21">
      <c r="A303" s="88">
        <v>302</v>
      </c>
      <c r="B303" s="89">
        <v>19</v>
      </c>
      <c r="C303" s="89">
        <v>1</v>
      </c>
      <c r="D303" s="89" t="s">
        <v>41</v>
      </c>
      <c r="E303" s="89">
        <v>1</v>
      </c>
      <c r="F303" s="89">
        <v>0</v>
      </c>
      <c r="G303" s="89">
        <v>-1</v>
      </c>
      <c r="H303" s="89">
        <v>35</v>
      </c>
      <c r="I303" s="89">
        <v>3</v>
      </c>
      <c r="J303" s="89">
        <v>48</v>
      </c>
      <c r="K303" s="89">
        <v>12</v>
      </c>
      <c r="L303" s="89">
        <v>6.2</v>
      </c>
      <c r="M303" s="89">
        <v>0.0272970987124464</v>
      </c>
      <c r="N303" s="89">
        <v>100</v>
      </c>
      <c r="O303" s="89">
        <v>350</v>
      </c>
      <c r="P303" s="89">
        <v>30</v>
      </c>
      <c r="Q303" s="89">
        <v>0.76</v>
      </c>
      <c r="R303" s="89" t="s">
        <v>90</v>
      </c>
      <c r="S303" s="89" t="s">
        <v>90</v>
      </c>
      <c r="T303" s="89" t="s">
        <v>90</v>
      </c>
      <c r="U303" s="90" t="s">
        <v>90</v>
      </c>
    </row>
    <row r="304" spans="1:21">
      <c r="A304" s="88">
        <v>303</v>
      </c>
      <c r="B304" s="89">
        <v>19</v>
      </c>
      <c r="C304" s="89">
        <v>2</v>
      </c>
      <c r="D304" s="89" t="s">
        <v>41</v>
      </c>
      <c r="E304" s="89">
        <v>1</v>
      </c>
      <c r="F304" s="89">
        <v>0</v>
      </c>
      <c r="G304" s="89">
        <v>-1</v>
      </c>
      <c r="H304" s="89">
        <v>50</v>
      </c>
      <c r="I304" s="89">
        <v>1</v>
      </c>
      <c r="J304" s="89">
        <v>24</v>
      </c>
      <c r="K304" s="89">
        <v>6</v>
      </c>
      <c r="L304" s="89">
        <v>6.2</v>
      </c>
      <c r="M304" s="89">
        <v>0.030578</v>
      </c>
      <c r="N304" s="89">
        <v>30</v>
      </c>
      <c r="O304" s="89">
        <v>420</v>
      </c>
      <c r="P304" s="89">
        <v>30</v>
      </c>
      <c r="Q304" s="89">
        <v>0.85</v>
      </c>
      <c r="R304" s="89" t="s">
        <v>90</v>
      </c>
      <c r="S304" s="89" t="s">
        <v>90</v>
      </c>
      <c r="T304" s="89" t="s">
        <v>90</v>
      </c>
      <c r="U304" s="90" t="s">
        <v>90</v>
      </c>
    </row>
    <row r="305" spans="1:21">
      <c r="A305" s="88">
        <v>304</v>
      </c>
      <c r="B305" s="89">
        <v>19</v>
      </c>
      <c r="C305" s="89">
        <v>3</v>
      </c>
      <c r="D305" s="89" t="s">
        <v>41</v>
      </c>
      <c r="E305" s="89">
        <v>1</v>
      </c>
      <c r="F305" s="89">
        <v>0</v>
      </c>
      <c r="G305" s="89">
        <v>4500</v>
      </c>
      <c r="H305" s="89">
        <v>30</v>
      </c>
      <c r="I305" s="89">
        <v>7</v>
      </c>
      <c r="J305" s="89">
        <v>2</v>
      </c>
      <c r="K305" s="89">
        <v>1</v>
      </c>
      <c r="L305" s="89">
        <v>9.8</v>
      </c>
      <c r="M305" s="89">
        <v>0.053048</v>
      </c>
      <c r="N305" s="89">
        <v>80</v>
      </c>
      <c r="O305" s="89">
        <v>200</v>
      </c>
      <c r="P305" s="89">
        <v>30</v>
      </c>
      <c r="Q305" s="89">
        <v>0.31</v>
      </c>
      <c r="R305" s="89" t="s">
        <v>90</v>
      </c>
      <c r="S305" s="89" t="s">
        <v>90</v>
      </c>
      <c r="T305" s="89" t="s">
        <v>90</v>
      </c>
      <c r="U305" s="90" t="s">
        <v>90</v>
      </c>
    </row>
    <row r="306" spans="1:21">
      <c r="A306" s="88">
        <v>305</v>
      </c>
      <c r="B306" s="89">
        <v>19</v>
      </c>
      <c r="C306" s="89">
        <v>12</v>
      </c>
      <c r="D306" s="89" t="s">
        <v>41</v>
      </c>
      <c r="E306" s="89">
        <v>1</v>
      </c>
      <c r="F306" s="89">
        <v>0</v>
      </c>
      <c r="G306" s="89">
        <v>18803.8644852579</v>
      </c>
      <c r="H306" s="89">
        <v>0</v>
      </c>
      <c r="I306" s="89">
        <v>100</v>
      </c>
      <c r="J306" s="89">
        <v>0</v>
      </c>
      <c r="K306" s="89">
        <v>0</v>
      </c>
      <c r="L306" s="89">
        <v>6.3</v>
      </c>
      <c r="M306" s="89">
        <v>0</v>
      </c>
      <c r="N306" s="89">
        <v>0</v>
      </c>
      <c r="O306" s="89">
        <v>420</v>
      </c>
      <c r="P306" s="89">
        <v>25</v>
      </c>
      <c r="Q306" s="89">
        <v>0</v>
      </c>
      <c r="R306" s="89" t="s">
        <v>90</v>
      </c>
      <c r="S306" s="89" t="s">
        <v>90</v>
      </c>
      <c r="T306" s="89" t="s">
        <v>90</v>
      </c>
      <c r="U306" s="90" t="s">
        <v>90</v>
      </c>
    </row>
    <row r="307" spans="1:21">
      <c r="A307" s="88">
        <v>306</v>
      </c>
      <c r="B307" s="89">
        <v>20</v>
      </c>
      <c r="C307" s="89">
        <v>3</v>
      </c>
      <c r="D307" s="89" t="s">
        <v>41</v>
      </c>
      <c r="E307" s="89">
        <v>1</v>
      </c>
      <c r="F307" s="89">
        <v>0</v>
      </c>
      <c r="G307" s="89">
        <v>4500</v>
      </c>
      <c r="H307" s="89">
        <v>30</v>
      </c>
      <c r="I307" s="89">
        <v>7</v>
      </c>
      <c r="J307" s="89">
        <v>2</v>
      </c>
      <c r="K307" s="89">
        <v>1</v>
      </c>
      <c r="L307" s="89">
        <v>9.8</v>
      </c>
      <c r="M307" s="89">
        <v>0.053048</v>
      </c>
      <c r="N307" s="89">
        <v>80</v>
      </c>
      <c r="O307" s="89">
        <v>200</v>
      </c>
      <c r="P307" s="89">
        <v>30</v>
      </c>
      <c r="Q307" s="89">
        <v>0.31</v>
      </c>
      <c r="R307" s="89" t="s">
        <v>90</v>
      </c>
      <c r="S307" s="89" t="s">
        <v>90</v>
      </c>
      <c r="T307" s="89" t="s">
        <v>90</v>
      </c>
      <c r="U307" s="90" t="s">
        <v>90</v>
      </c>
    </row>
    <row r="308" spans="1:21">
      <c r="A308" s="88">
        <v>307</v>
      </c>
      <c r="B308" s="89">
        <v>20</v>
      </c>
      <c r="C308" s="89">
        <v>4</v>
      </c>
      <c r="D308" s="89" t="s">
        <v>41</v>
      </c>
      <c r="E308" s="89">
        <v>1</v>
      </c>
      <c r="F308" s="89">
        <v>0</v>
      </c>
      <c r="G308" s="89">
        <v>1276</v>
      </c>
      <c r="H308" s="89">
        <v>0</v>
      </c>
      <c r="I308" s="89">
        <v>100</v>
      </c>
      <c r="J308" s="89">
        <v>0</v>
      </c>
      <c r="K308" s="89">
        <v>0</v>
      </c>
      <c r="L308" s="89">
        <v>25.93</v>
      </c>
      <c r="M308" s="89">
        <v>0</v>
      </c>
      <c r="N308" s="89">
        <v>0</v>
      </c>
      <c r="O308" s="89">
        <v>1400</v>
      </c>
      <c r="P308" s="89">
        <v>80</v>
      </c>
      <c r="Q308" s="89">
        <v>0</v>
      </c>
      <c r="R308" s="89" t="s">
        <v>90</v>
      </c>
      <c r="S308" s="89" t="s">
        <v>90</v>
      </c>
      <c r="T308" s="89" t="s">
        <v>90</v>
      </c>
      <c r="U308" s="90" t="s">
        <v>90</v>
      </c>
    </row>
    <row r="309" spans="1:21">
      <c r="A309" s="88">
        <v>308</v>
      </c>
      <c r="B309" s="89">
        <v>20</v>
      </c>
      <c r="C309" s="89">
        <v>5</v>
      </c>
      <c r="D309" s="89" t="s">
        <v>41</v>
      </c>
      <c r="E309" s="89">
        <v>1</v>
      </c>
      <c r="F309" s="89">
        <v>0</v>
      </c>
      <c r="G309" s="89">
        <v>10000</v>
      </c>
      <c r="H309" s="89">
        <v>70</v>
      </c>
      <c r="I309" s="89">
        <v>0</v>
      </c>
      <c r="J309" s="89">
        <v>48</v>
      </c>
      <c r="K309" s="89">
        <v>12</v>
      </c>
      <c r="L309" s="89">
        <v>55.64</v>
      </c>
      <c r="M309" s="89">
        <v>0.004784</v>
      </c>
      <c r="N309" s="89">
        <v>120</v>
      </c>
      <c r="O309" s="89">
        <v>1750</v>
      </c>
      <c r="P309" s="89">
        <v>60</v>
      </c>
      <c r="Q309" s="89">
        <v>0</v>
      </c>
      <c r="R309" s="89" t="s">
        <v>90</v>
      </c>
      <c r="S309" s="89" t="s">
        <v>90</v>
      </c>
      <c r="T309" s="89" t="s">
        <v>90</v>
      </c>
      <c r="U309" s="90" t="s">
        <v>90</v>
      </c>
    </row>
    <row r="310" spans="1:21">
      <c r="A310" s="88">
        <v>309</v>
      </c>
      <c r="B310" s="89">
        <v>20</v>
      </c>
      <c r="C310" s="89">
        <v>11</v>
      </c>
      <c r="D310" s="89" t="s">
        <v>41</v>
      </c>
      <c r="E310" s="89">
        <v>1</v>
      </c>
      <c r="F310" s="89">
        <v>0</v>
      </c>
      <c r="G310" s="89">
        <v>3394.73477100934</v>
      </c>
      <c r="H310" s="89">
        <v>0</v>
      </c>
      <c r="I310" s="89">
        <v>100</v>
      </c>
      <c r="J310" s="89">
        <v>0</v>
      </c>
      <c r="K310" s="89">
        <v>0</v>
      </c>
      <c r="L310" s="89">
        <v>6.65</v>
      </c>
      <c r="M310" s="89">
        <v>0</v>
      </c>
      <c r="N310" s="89">
        <v>0</v>
      </c>
      <c r="O310" s="89">
        <v>420</v>
      </c>
      <c r="P310" s="89">
        <v>25</v>
      </c>
      <c r="Q310" s="89">
        <v>0</v>
      </c>
      <c r="R310" s="89" t="s">
        <v>90</v>
      </c>
      <c r="S310" s="89" t="s">
        <v>90</v>
      </c>
      <c r="T310" s="89" t="s">
        <v>90</v>
      </c>
      <c r="U310" s="90" t="s">
        <v>90</v>
      </c>
    </row>
    <row r="311" spans="1:21">
      <c r="A311" s="88">
        <v>310</v>
      </c>
      <c r="B311" s="89">
        <v>20</v>
      </c>
      <c r="C311" s="89">
        <v>12</v>
      </c>
      <c r="D311" s="89" t="s">
        <v>41</v>
      </c>
      <c r="E311" s="89">
        <v>1</v>
      </c>
      <c r="F311" s="89">
        <v>0</v>
      </c>
      <c r="G311" s="89">
        <v>27297.3410881636</v>
      </c>
      <c r="H311" s="89">
        <v>0</v>
      </c>
      <c r="I311" s="89">
        <v>100</v>
      </c>
      <c r="J311" s="89">
        <v>0</v>
      </c>
      <c r="K311" s="89">
        <v>0</v>
      </c>
      <c r="L311" s="89">
        <v>6.3</v>
      </c>
      <c r="M311" s="89">
        <v>0</v>
      </c>
      <c r="N311" s="89">
        <v>0</v>
      </c>
      <c r="O311" s="89">
        <v>420</v>
      </c>
      <c r="P311" s="89">
        <v>25</v>
      </c>
      <c r="Q311" s="89">
        <v>0</v>
      </c>
      <c r="R311" s="89" t="s">
        <v>90</v>
      </c>
      <c r="S311" s="89" t="s">
        <v>90</v>
      </c>
      <c r="T311" s="89" t="s">
        <v>90</v>
      </c>
      <c r="U311" s="90" t="s">
        <v>90</v>
      </c>
    </row>
    <row r="312" spans="1:21">
      <c r="A312" s="88">
        <v>311</v>
      </c>
      <c r="B312" s="89">
        <v>21</v>
      </c>
      <c r="C312" s="89">
        <v>3</v>
      </c>
      <c r="D312" s="89" t="s">
        <v>41</v>
      </c>
      <c r="E312" s="89">
        <v>1</v>
      </c>
      <c r="F312" s="89">
        <v>0</v>
      </c>
      <c r="G312" s="89">
        <v>4500</v>
      </c>
      <c r="H312" s="89">
        <v>30</v>
      </c>
      <c r="I312" s="89">
        <v>7</v>
      </c>
      <c r="J312" s="89">
        <v>2</v>
      </c>
      <c r="K312" s="89">
        <v>1</v>
      </c>
      <c r="L312" s="89">
        <v>9.8</v>
      </c>
      <c r="M312" s="89">
        <v>0.053048</v>
      </c>
      <c r="N312" s="89">
        <v>80</v>
      </c>
      <c r="O312" s="89">
        <v>200</v>
      </c>
      <c r="P312" s="89">
        <v>30</v>
      </c>
      <c r="Q312" s="89">
        <v>0.31</v>
      </c>
      <c r="R312" s="89" t="s">
        <v>90</v>
      </c>
      <c r="S312" s="89" t="s">
        <v>90</v>
      </c>
      <c r="T312" s="89" t="s">
        <v>90</v>
      </c>
      <c r="U312" s="90" t="s">
        <v>90</v>
      </c>
    </row>
    <row r="313" spans="1:21">
      <c r="A313" s="88">
        <v>312</v>
      </c>
      <c r="B313" s="89">
        <v>21</v>
      </c>
      <c r="C313" s="89">
        <v>4</v>
      </c>
      <c r="D313" s="89" t="s">
        <v>41</v>
      </c>
      <c r="E313" s="89">
        <v>1</v>
      </c>
      <c r="F313" s="89">
        <v>0</v>
      </c>
      <c r="G313" s="89">
        <v>855</v>
      </c>
      <c r="H313" s="89">
        <v>0</v>
      </c>
      <c r="I313" s="89">
        <v>100</v>
      </c>
      <c r="J313" s="89">
        <v>0</v>
      </c>
      <c r="K313" s="89">
        <v>0</v>
      </c>
      <c r="L313" s="89">
        <v>25.93</v>
      </c>
      <c r="M313" s="89">
        <v>0</v>
      </c>
      <c r="N313" s="89">
        <v>0</v>
      </c>
      <c r="O313" s="89">
        <v>1400</v>
      </c>
      <c r="P313" s="89">
        <v>80</v>
      </c>
      <c r="Q313" s="89">
        <v>0</v>
      </c>
      <c r="R313" s="89" t="s">
        <v>90</v>
      </c>
      <c r="S313" s="89" t="s">
        <v>90</v>
      </c>
      <c r="T313" s="89" t="s">
        <v>90</v>
      </c>
      <c r="U313" s="90" t="s">
        <v>90</v>
      </c>
    </row>
    <row r="314" spans="1:21">
      <c r="A314" s="88">
        <v>313</v>
      </c>
      <c r="B314" s="89">
        <v>21</v>
      </c>
      <c r="C314" s="89">
        <v>12</v>
      </c>
      <c r="D314" s="89" t="s">
        <v>41</v>
      </c>
      <c r="E314" s="89">
        <v>1</v>
      </c>
      <c r="F314" s="89">
        <v>0</v>
      </c>
      <c r="G314" s="89">
        <v>31024.7558291541</v>
      </c>
      <c r="H314" s="89">
        <v>0</v>
      </c>
      <c r="I314" s="89">
        <v>100</v>
      </c>
      <c r="J314" s="89">
        <v>0</v>
      </c>
      <c r="K314" s="89">
        <v>0</v>
      </c>
      <c r="L314" s="89">
        <v>6.3</v>
      </c>
      <c r="M314" s="89">
        <v>0</v>
      </c>
      <c r="N314" s="89">
        <v>0</v>
      </c>
      <c r="O314" s="89">
        <v>420</v>
      </c>
      <c r="P314" s="89">
        <v>25</v>
      </c>
      <c r="Q314" s="89">
        <v>0</v>
      </c>
      <c r="R314" s="89" t="s">
        <v>90</v>
      </c>
      <c r="S314" s="89" t="s">
        <v>90</v>
      </c>
      <c r="T314" s="89" t="s">
        <v>90</v>
      </c>
      <c r="U314" s="90" t="s">
        <v>90</v>
      </c>
    </row>
    <row r="315" spans="1:21">
      <c r="A315" s="88">
        <v>314</v>
      </c>
      <c r="B315" s="89">
        <v>21</v>
      </c>
      <c r="C315" s="89">
        <v>14</v>
      </c>
      <c r="D315" s="89" t="s">
        <v>41</v>
      </c>
      <c r="E315" s="89">
        <v>1</v>
      </c>
      <c r="F315" s="89">
        <v>0</v>
      </c>
      <c r="G315" s="89">
        <v>20974.58</v>
      </c>
      <c r="H315" s="89">
        <v>0</v>
      </c>
      <c r="I315" s="89">
        <v>100</v>
      </c>
      <c r="J315" s="89">
        <v>0</v>
      </c>
      <c r="K315" s="89">
        <v>0</v>
      </c>
      <c r="L315" s="89">
        <v>14.6</v>
      </c>
      <c r="M315" s="89">
        <v>0</v>
      </c>
      <c r="N315" s="89">
        <v>0</v>
      </c>
      <c r="O315" s="89">
        <v>520</v>
      </c>
      <c r="P315" s="89">
        <v>25</v>
      </c>
      <c r="Q315" s="89">
        <v>0</v>
      </c>
      <c r="R315" s="89" t="s">
        <v>90</v>
      </c>
      <c r="S315" s="89" t="s">
        <v>90</v>
      </c>
      <c r="T315" s="89" t="s">
        <v>90</v>
      </c>
      <c r="U315" s="90" t="s">
        <v>90</v>
      </c>
    </row>
    <row r="316" spans="1:21">
      <c r="A316" s="88">
        <v>315</v>
      </c>
      <c r="B316" s="89">
        <v>22</v>
      </c>
      <c r="C316" s="89">
        <v>1</v>
      </c>
      <c r="D316" s="89" t="s">
        <v>41</v>
      </c>
      <c r="E316" s="89">
        <v>1</v>
      </c>
      <c r="F316" s="89">
        <v>0</v>
      </c>
      <c r="G316" s="89">
        <v>-1</v>
      </c>
      <c r="H316" s="89">
        <v>35</v>
      </c>
      <c r="I316" s="89">
        <v>3</v>
      </c>
      <c r="J316" s="89">
        <v>48</v>
      </c>
      <c r="K316" s="89">
        <v>12</v>
      </c>
      <c r="L316" s="89">
        <v>6.2</v>
      </c>
      <c r="M316" s="89">
        <v>0.0272970987124464</v>
      </c>
      <c r="N316" s="89">
        <v>100</v>
      </c>
      <c r="O316" s="89">
        <v>350</v>
      </c>
      <c r="P316" s="89">
        <v>30</v>
      </c>
      <c r="Q316" s="89">
        <v>0.76</v>
      </c>
      <c r="R316" s="89" t="s">
        <v>90</v>
      </c>
      <c r="S316" s="89" t="s">
        <v>90</v>
      </c>
      <c r="T316" s="89" t="s">
        <v>90</v>
      </c>
      <c r="U316" s="90" t="s">
        <v>90</v>
      </c>
    </row>
    <row r="317" spans="1:21">
      <c r="A317" s="88">
        <v>316</v>
      </c>
      <c r="B317" s="89">
        <v>22</v>
      </c>
      <c r="C317" s="89">
        <v>2</v>
      </c>
      <c r="D317" s="89" t="s">
        <v>41</v>
      </c>
      <c r="E317" s="89">
        <v>1</v>
      </c>
      <c r="F317" s="89">
        <v>0</v>
      </c>
      <c r="G317" s="89">
        <v>-1</v>
      </c>
      <c r="H317" s="89">
        <v>50</v>
      </c>
      <c r="I317" s="89">
        <v>1</v>
      </c>
      <c r="J317" s="89">
        <v>24</v>
      </c>
      <c r="K317" s="89">
        <v>6</v>
      </c>
      <c r="L317" s="89">
        <v>6.2</v>
      </c>
      <c r="M317" s="89">
        <v>0.030578</v>
      </c>
      <c r="N317" s="89">
        <v>30</v>
      </c>
      <c r="O317" s="89">
        <v>420</v>
      </c>
      <c r="P317" s="89">
        <v>30</v>
      </c>
      <c r="Q317" s="89">
        <v>0.85</v>
      </c>
      <c r="R317" s="89" t="s">
        <v>90</v>
      </c>
      <c r="S317" s="89" t="s">
        <v>90</v>
      </c>
      <c r="T317" s="89" t="s">
        <v>90</v>
      </c>
      <c r="U317" s="90" t="s">
        <v>90</v>
      </c>
    </row>
    <row r="318" spans="1:21">
      <c r="A318" s="88">
        <v>317</v>
      </c>
      <c r="B318" s="89">
        <v>22</v>
      </c>
      <c r="C318" s="89">
        <v>3</v>
      </c>
      <c r="D318" s="89" t="s">
        <v>41</v>
      </c>
      <c r="E318" s="89">
        <v>1</v>
      </c>
      <c r="F318" s="89">
        <v>0</v>
      </c>
      <c r="G318" s="89">
        <v>4500</v>
      </c>
      <c r="H318" s="89">
        <v>30</v>
      </c>
      <c r="I318" s="89">
        <v>7</v>
      </c>
      <c r="J318" s="89">
        <v>2</v>
      </c>
      <c r="K318" s="89">
        <v>1</v>
      </c>
      <c r="L318" s="89">
        <v>9.8</v>
      </c>
      <c r="M318" s="89">
        <v>0.053048</v>
      </c>
      <c r="N318" s="89">
        <v>80</v>
      </c>
      <c r="O318" s="89">
        <v>200</v>
      </c>
      <c r="P318" s="89">
        <v>30</v>
      </c>
      <c r="Q318" s="89">
        <v>0.31</v>
      </c>
      <c r="R318" s="89" t="s">
        <v>90</v>
      </c>
      <c r="S318" s="89" t="s">
        <v>90</v>
      </c>
      <c r="T318" s="89" t="s">
        <v>90</v>
      </c>
      <c r="U318" s="90" t="s">
        <v>90</v>
      </c>
    </row>
    <row r="319" spans="1:21">
      <c r="A319" s="88">
        <v>318</v>
      </c>
      <c r="B319" s="89">
        <v>22</v>
      </c>
      <c r="C319" s="89">
        <v>5</v>
      </c>
      <c r="D319" s="89" t="s">
        <v>41</v>
      </c>
      <c r="E319" s="89">
        <v>1</v>
      </c>
      <c r="F319" s="89">
        <v>0</v>
      </c>
      <c r="G319" s="89">
        <v>7500</v>
      </c>
      <c r="H319" s="89">
        <v>70</v>
      </c>
      <c r="I319" s="89">
        <v>0</v>
      </c>
      <c r="J319" s="89">
        <v>48</v>
      </c>
      <c r="K319" s="89">
        <v>12</v>
      </c>
      <c r="L319" s="89">
        <v>55.64</v>
      </c>
      <c r="M319" s="89">
        <v>0.004784</v>
      </c>
      <c r="N319" s="89">
        <v>120</v>
      </c>
      <c r="O319" s="89">
        <v>1750</v>
      </c>
      <c r="P319" s="89">
        <v>60</v>
      </c>
      <c r="Q319" s="89">
        <v>0</v>
      </c>
      <c r="R319" s="89" t="s">
        <v>90</v>
      </c>
      <c r="S319" s="89" t="s">
        <v>90</v>
      </c>
      <c r="T319" s="89" t="s">
        <v>90</v>
      </c>
      <c r="U319" s="90" t="s">
        <v>90</v>
      </c>
    </row>
    <row r="320" spans="1:21">
      <c r="A320" s="88">
        <v>319</v>
      </c>
      <c r="B320" s="89">
        <v>22</v>
      </c>
      <c r="C320" s="89">
        <v>12</v>
      </c>
      <c r="D320" s="89" t="s">
        <v>41</v>
      </c>
      <c r="E320" s="89">
        <v>1</v>
      </c>
      <c r="F320" s="89">
        <v>0</v>
      </c>
      <c r="G320" s="89">
        <v>34223.1291495274</v>
      </c>
      <c r="H320" s="89">
        <v>0</v>
      </c>
      <c r="I320" s="89">
        <v>100</v>
      </c>
      <c r="J320" s="89">
        <v>0</v>
      </c>
      <c r="K320" s="89">
        <v>0</v>
      </c>
      <c r="L320" s="89">
        <v>6.3</v>
      </c>
      <c r="M320" s="89">
        <v>0</v>
      </c>
      <c r="N320" s="89">
        <v>0</v>
      </c>
      <c r="O320" s="89">
        <v>420</v>
      </c>
      <c r="P320" s="89">
        <v>25</v>
      </c>
      <c r="Q320" s="89">
        <v>0</v>
      </c>
      <c r="R320" s="89" t="s">
        <v>90</v>
      </c>
      <c r="S320" s="89" t="s">
        <v>90</v>
      </c>
      <c r="T320" s="89" t="s">
        <v>90</v>
      </c>
      <c r="U320" s="90" t="s">
        <v>90</v>
      </c>
    </row>
    <row r="321" spans="1:21">
      <c r="A321" s="88">
        <v>320</v>
      </c>
      <c r="B321" s="89">
        <v>22</v>
      </c>
      <c r="C321" s="89">
        <v>15</v>
      </c>
      <c r="D321" s="89" t="s">
        <v>41</v>
      </c>
      <c r="E321" s="89">
        <v>1</v>
      </c>
      <c r="F321" s="89">
        <v>0</v>
      </c>
      <c r="G321" s="89">
        <v>5558.22639695278</v>
      </c>
      <c r="H321" s="89">
        <v>0</v>
      </c>
      <c r="I321" s="89">
        <v>100</v>
      </c>
      <c r="J321" s="89">
        <v>0</v>
      </c>
      <c r="K321" s="89">
        <v>0</v>
      </c>
      <c r="L321" s="89">
        <v>43.45</v>
      </c>
      <c r="M321" s="89">
        <v>0</v>
      </c>
      <c r="N321" s="89">
        <v>0</v>
      </c>
      <c r="O321" s="89">
        <v>1400</v>
      </c>
      <c r="P321" s="89">
        <v>25</v>
      </c>
      <c r="Q321" s="89">
        <v>0</v>
      </c>
      <c r="R321" s="89" t="s">
        <v>90</v>
      </c>
      <c r="S321" s="89" t="s">
        <v>90</v>
      </c>
      <c r="T321" s="89" t="s">
        <v>90</v>
      </c>
      <c r="U321" s="90" t="s">
        <v>90</v>
      </c>
    </row>
    <row r="322" spans="1:21">
      <c r="A322" s="88">
        <v>321</v>
      </c>
      <c r="B322" s="89">
        <v>23</v>
      </c>
      <c r="C322" s="89">
        <v>1</v>
      </c>
      <c r="D322" s="89" t="s">
        <v>41</v>
      </c>
      <c r="E322" s="89">
        <v>1</v>
      </c>
      <c r="F322" s="89">
        <v>0</v>
      </c>
      <c r="G322" s="89">
        <v>-1</v>
      </c>
      <c r="H322" s="89">
        <v>35</v>
      </c>
      <c r="I322" s="89">
        <v>3</v>
      </c>
      <c r="J322" s="89">
        <v>48</v>
      </c>
      <c r="K322" s="89">
        <v>12</v>
      </c>
      <c r="L322" s="89">
        <v>6.2</v>
      </c>
      <c r="M322" s="89">
        <v>0.0272970987124464</v>
      </c>
      <c r="N322" s="89">
        <v>100</v>
      </c>
      <c r="O322" s="89">
        <v>350</v>
      </c>
      <c r="P322" s="89">
        <v>30</v>
      </c>
      <c r="Q322" s="89">
        <v>0.76</v>
      </c>
      <c r="R322" s="89" t="s">
        <v>90</v>
      </c>
      <c r="S322" s="89" t="s">
        <v>90</v>
      </c>
      <c r="T322" s="89" t="s">
        <v>90</v>
      </c>
      <c r="U322" s="90" t="s">
        <v>90</v>
      </c>
    </row>
    <row r="323" spans="1:21">
      <c r="A323" s="88">
        <v>322</v>
      </c>
      <c r="B323" s="89">
        <v>23</v>
      </c>
      <c r="C323" s="89">
        <v>2</v>
      </c>
      <c r="D323" s="89" t="s">
        <v>41</v>
      </c>
      <c r="E323" s="89">
        <v>1</v>
      </c>
      <c r="F323" s="89">
        <v>0</v>
      </c>
      <c r="G323" s="89">
        <v>-1</v>
      </c>
      <c r="H323" s="89">
        <v>50</v>
      </c>
      <c r="I323" s="89">
        <v>1</v>
      </c>
      <c r="J323" s="89">
        <v>24</v>
      </c>
      <c r="K323" s="89">
        <v>6</v>
      </c>
      <c r="L323" s="89">
        <v>6.2</v>
      </c>
      <c r="M323" s="89">
        <v>0.030578</v>
      </c>
      <c r="N323" s="89">
        <v>30</v>
      </c>
      <c r="O323" s="89">
        <v>420</v>
      </c>
      <c r="P323" s="89">
        <v>30</v>
      </c>
      <c r="Q323" s="89">
        <v>0.85</v>
      </c>
      <c r="R323" s="89" t="s">
        <v>90</v>
      </c>
      <c r="S323" s="89" t="s">
        <v>90</v>
      </c>
      <c r="T323" s="89" t="s">
        <v>90</v>
      </c>
      <c r="U323" s="90" t="s">
        <v>90</v>
      </c>
    </row>
    <row r="324" spans="1:21">
      <c r="A324" s="88">
        <v>323</v>
      </c>
      <c r="B324" s="89">
        <v>23</v>
      </c>
      <c r="C324" s="89">
        <v>3</v>
      </c>
      <c r="D324" s="89" t="s">
        <v>41</v>
      </c>
      <c r="E324" s="89">
        <v>1</v>
      </c>
      <c r="F324" s="89">
        <v>0</v>
      </c>
      <c r="G324" s="89">
        <v>4500</v>
      </c>
      <c r="H324" s="89">
        <v>30</v>
      </c>
      <c r="I324" s="89">
        <v>7</v>
      </c>
      <c r="J324" s="89">
        <v>2</v>
      </c>
      <c r="K324" s="89">
        <v>1</v>
      </c>
      <c r="L324" s="89">
        <v>9.8</v>
      </c>
      <c r="M324" s="89">
        <v>0.053048</v>
      </c>
      <c r="N324" s="89">
        <v>80</v>
      </c>
      <c r="O324" s="89">
        <v>200</v>
      </c>
      <c r="P324" s="89">
        <v>30</v>
      </c>
      <c r="Q324" s="89">
        <v>0.31</v>
      </c>
      <c r="R324" s="89" t="s">
        <v>90</v>
      </c>
      <c r="S324" s="89" t="s">
        <v>90</v>
      </c>
      <c r="T324" s="89" t="s">
        <v>90</v>
      </c>
      <c r="U324" s="90" t="s">
        <v>90</v>
      </c>
    </row>
    <row r="325" spans="1:21">
      <c r="A325" s="88">
        <v>324</v>
      </c>
      <c r="B325" s="89">
        <v>23</v>
      </c>
      <c r="C325" s="89">
        <v>4</v>
      </c>
      <c r="D325" s="89" t="s">
        <v>41</v>
      </c>
      <c r="E325" s="89">
        <v>1</v>
      </c>
      <c r="F325" s="89">
        <v>0</v>
      </c>
      <c r="G325" s="89">
        <v>2777</v>
      </c>
      <c r="H325" s="89">
        <v>0</v>
      </c>
      <c r="I325" s="89">
        <v>100</v>
      </c>
      <c r="J325" s="89">
        <v>0</v>
      </c>
      <c r="K325" s="89">
        <v>0</v>
      </c>
      <c r="L325" s="89">
        <v>25.93</v>
      </c>
      <c r="M325" s="89">
        <v>0</v>
      </c>
      <c r="N325" s="89">
        <v>0</v>
      </c>
      <c r="O325" s="89">
        <v>1400</v>
      </c>
      <c r="P325" s="89">
        <v>80</v>
      </c>
      <c r="Q325" s="89">
        <v>0</v>
      </c>
      <c r="R325" s="89" t="s">
        <v>90</v>
      </c>
      <c r="S325" s="89" t="s">
        <v>90</v>
      </c>
      <c r="T325" s="89" t="s">
        <v>90</v>
      </c>
      <c r="U325" s="90" t="s">
        <v>90</v>
      </c>
    </row>
    <row r="326" spans="1:21">
      <c r="A326" s="88">
        <v>325</v>
      </c>
      <c r="B326" s="89">
        <v>23</v>
      </c>
      <c r="C326" s="89">
        <v>5</v>
      </c>
      <c r="D326" s="89" t="s">
        <v>41</v>
      </c>
      <c r="E326" s="89">
        <v>1</v>
      </c>
      <c r="F326" s="89">
        <v>0</v>
      </c>
      <c r="G326" s="89">
        <v>3000</v>
      </c>
      <c r="H326" s="89">
        <v>70</v>
      </c>
      <c r="I326" s="89">
        <v>0</v>
      </c>
      <c r="J326" s="89">
        <v>48</v>
      </c>
      <c r="K326" s="89">
        <v>12</v>
      </c>
      <c r="L326" s="89">
        <v>55.64</v>
      </c>
      <c r="M326" s="89">
        <v>0.004784</v>
      </c>
      <c r="N326" s="89">
        <v>120</v>
      </c>
      <c r="O326" s="89">
        <v>1750</v>
      </c>
      <c r="P326" s="89">
        <v>60</v>
      </c>
      <c r="Q326" s="89">
        <v>0</v>
      </c>
      <c r="R326" s="89" t="s">
        <v>90</v>
      </c>
      <c r="S326" s="89" t="s">
        <v>90</v>
      </c>
      <c r="T326" s="89" t="s">
        <v>90</v>
      </c>
      <c r="U326" s="90" t="s">
        <v>90</v>
      </c>
    </row>
    <row r="327" spans="1:21">
      <c r="A327" s="88">
        <v>326</v>
      </c>
      <c r="B327" s="89">
        <v>23</v>
      </c>
      <c r="C327" s="89">
        <v>11</v>
      </c>
      <c r="D327" s="89" t="s">
        <v>41</v>
      </c>
      <c r="E327" s="89">
        <v>1</v>
      </c>
      <c r="F327" s="89">
        <v>0</v>
      </c>
      <c r="G327" s="89">
        <v>98070.1156069364</v>
      </c>
      <c r="H327" s="89">
        <v>0</v>
      </c>
      <c r="I327" s="89">
        <v>100</v>
      </c>
      <c r="J327" s="89">
        <v>0</v>
      </c>
      <c r="K327" s="89">
        <v>0</v>
      </c>
      <c r="L327" s="89">
        <v>6.65</v>
      </c>
      <c r="M327" s="89">
        <v>0</v>
      </c>
      <c r="N327" s="89">
        <v>0</v>
      </c>
      <c r="O327" s="89">
        <v>420</v>
      </c>
      <c r="P327" s="89">
        <v>25</v>
      </c>
      <c r="Q327" s="89">
        <v>0</v>
      </c>
      <c r="R327" s="89" t="s">
        <v>90</v>
      </c>
      <c r="S327" s="89" t="s">
        <v>90</v>
      </c>
      <c r="T327" s="89" t="s">
        <v>90</v>
      </c>
      <c r="U327" s="90" t="s">
        <v>90</v>
      </c>
    </row>
    <row r="328" spans="1:21">
      <c r="A328" s="88">
        <v>327</v>
      </c>
      <c r="B328" s="89">
        <v>23</v>
      </c>
      <c r="C328" s="89">
        <v>12</v>
      </c>
      <c r="D328" s="89" t="s">
        <v>41</v>
      </c>
      <c r="E328" s="89">
        <v>1</v>
      </c>
      <c r="F328" s="89">
        <v>0</v>
      </c>
      <c r="G328" s="89">
        <v>11166.9072677472</v>
      </c>
      <c r="H328" s="89">
        <v>0</v>
      </c>
      <c r="I328" s="89">
        <v>100</v>
      </c>
      <c r="J328" s="89">
        <v>0</v>
      </c>
      <c r="K328" s="89">
        <v>0</v>
      </c>
      <c r="L328" s="89">
        <v>6.3</v>
      </c>
      <c r="M328" s="89">
        <v>0</v>
      </c>
      <c r="N328" s="89">
        <v>0</v>
      </c>
      <c r="O328" s="89">
        <v>420</v>
      </c>
      <c r="P328" s="89">
        <v>25</v>
      </c>
      <c r="Q328" s="89">
        <v>0</v>
      </c>
      <c r="R328" s="89" t="s">
        <v>90</v>
      </c>
      <c r="S328" s="89" t="s">
        <v>90</v>
      </c>
      <c r="T328" s="89" t="s">
        <v>90</v>
      </c>
      <c r="U328" s="90" t="s">
        <v>90</v>
      </c>
    </row>
    <row r="329" spans="1:21">
      <c r="A329" s="88">
        <v>328</v>
      </c>
      <c r="B329" s="89">
        <v>23</v>
      </c>
      <c r="C329" s="89">
        <v>15</v>
      </c>
      <c r="D329" s="89" t="s">
        <v>41</v>
      </c>
      <c r="E329" s="89">
        <v>1</v>
      </c>
      <c r="F329" s="89">
        <v>0</v>
      </c>
      <c r="G329" s="89">
        <v>6951.66598868385</v>
      </c>
      <c r="H329" s="89">
        <v>0</v>
      </c>
      <c r="I329" s="89">
        <v>100</v>
      </c>
      <c r="J329" s="89">
        <v>0</v>
      </c>
      <c r="K329" s="89">
        <v>0</v>
      </c>
      <c r="L329" s="89">
        <v>43.45</v>
      </c>
      <c r="M329" s="89">
        <v>0</v>
      </c>
      <c r="N329" s="89">
        <v>0</v>
      </c>
      <c r="O329" s="89">
        <v>1400</v>
      </c>
      <c r="P329" s="89">
        <v>25</v>
      </c>
      <c r="Q329" s="89">
        <v>0</v>
      </c>
      <c r="R329" s="89" t="s">
        <v>90</v>
      </c>
      <c r="S329" s="89" t="s">
        <v>90</v>
      </c>
      <c r="T329" s="89" t="s">
        <v>90</v>
      </c>
      <c r="U329" s="90" t="s">
        <v>90</v>
      </c>
    </row>
    <row r="330" spans="1:21">
      <c r="A330" s="88">
        <v>329</v>
      </c>
      <c r="B330" s="89">
        <v>24</v>
      </c>
      <c r="C330" s="89">
        <v>1</v>
      </c>
      <c r="D330" s="89" t="s">
        <v>41</v>
      </c>
      <c r="E330" s="89">
        <v>1</v>
      </c>
      <c r="F330" s="89">
        <v>0</v>
      </c>
      <c r="G330" s="89">
        <v>-1</v>
      </c>
      <c r="H330" s="89">
        <v>35</v>
      </c>
      <c r="I330" s="89">
        <v>3</v>
      </c>
      <c r="J330" s="89">
        <v>48</v>
      </c>
      <c r="K330" s="89">
        <v>12</v>
      </c>
      <c r="L330" s="89">
        <v>6.2</v>
      </c>
      <c r="M330" s="89">
        <v>0.0272970987124464</v>
      </c>
      <c r="N330" s="89">
        <v>100</v>
      </c>
      <c r="O330" s="89">
        <v>350</v>
      </c>
      <c r="P330" s="89">
        <v>30</v>
      </c>
      <c r="Q330" s="89">
        <v>0.76</v>
      </c>
      <c r="R330" s="89" t="s">
        <v>90</v>
      </c>
      <c r="S330" s="89" t="s">
        <v>90</v>
      </c>
      <c r="T330" s="89" t="s">
        <v>90</v>
      </c>
      <c r="U330" s="90" t="s">
        <v>90</v>
      </c>
    </row>
    <row r="331" spans="1:21">
      <c r="A331" s="88">
        <v>330</v>
      </c>
      <c r="B331" s="89">
        <v>24</v>
      </c>
      <c r="C331" s="89">
        <v>2</v>
      </c>
      <c r="D331" s="89" t="s">
        <v>41</v>
      </c>
      <c r="E331" s="89">
        <v>1</v>
      </c>
      <c r="F331" s="89">
        <v>0</v>
      </c>
      <c r="G331" s="89">
        <v>-1</v>
      </c>
      <c r="H331" s="89">
        <v>50</v>
      </c>
      <c r="I331" s="89">
        <v>1</v>
      </c>
      <c r="J331" s="89">
        <v>24</v>
      </c>
      <c r="K331" s="89">
        <v>6</v>
      </c>
      <c r="L331" s="89">
        <v>6.2</v>
      </c>
      <c r="M331" s="89">
        <v>0.030578</v>
      </c>
      <c r="N331" s="89">
        <v>30</v>
      </c>
      <c r="O331" s="89">
        <v>420</v>
      </c>
      <c r="P331" s="89">
        <v>30</v>
      </c>
      <c r="Q331" s="89">
        <v>0.85</v>
      </c>
      <c r="R331" s="89" t="s">
        <v>90</v>
      </c>
      <c r="S331" s="89" t="s">
        <v>90</v>
      </c>
      <c r="T331" s="89" t="s">
        <v>90</v>
      </c>
      <c r="U331" s="90" t="s">
        <v>90</v>
      </c>
    </row>
    <row r="332" spans="1:21">
      <c r="A332" s="88">
        <v>331</v>
      </c>
      <c r="B332" s="89">
        <v>24</v>
      </c>
      <c r="C332" s="89">
        <v>3</v>
      </c>
      <c r="D332" s="89" t="s">
        <v>41</v>
      </c>
      <c r="E332" s="89">
        <v>1</v>
      </c>
      <c r="F332" s="89">
        <v>0</v>
      </c>
      <c r="G332" s="89">
        <v>4500</v>
      </c>
      <c r="H332" s="89">
        <v>30</v>
      </c>
      <c r="I332" s="89">
        <v>7</v>
      </c>
      <c r="J332" s="89">
        <v>2</v>
      </c>
      <c r="K332" s="89">
        <v>1</v>
      </c>
      <c r="L332" s="89">
        <v>9.8</v>
      </c>
      <c r="M332" s="89">
        <v>0.053048</v>
      </c>
      <c r="N332" s="89">
        <v>80</v>
      </c>
      <c r="O332" s="89">
        <v>200</v>
      </c>
      <c r="P332" s="89">
        <v>30</v>
      </c>
      <c r="Q332" s="89">
        <v>0.31</v>
      </c>
      <c r="R332" s="89" t="s">
        <v>90</v>
      </c>
      <c r="S332" s="89" t="s">
        <v>90</v>
      </c>
      <c r="T332" s="89" t="s">
        <v>90</v>
      </c>
      <c r="U332" s="90" t="s">
        <v>90</v>
      </c>
    </row>
    <row r="333" spans="1:21">
      <c r="A333" s="88">
        <v>332</v>
      </c>
      <c r="B333" s="89">
        <v>24</v>
      </c>
      <c r="C333" s="89">
        <v>12</v>
      </c>
      <c r="D333" s="89" t="s">
        <v>41</v>
      </c>
      <c r="E333" s="89">
        <v>1</v>
      </c>
      <c r="F333" s="89">
        <v>0</v>
      </c>
      <c r="G333" s="89">
        <v>12981.4461641416</v>
      </c>
      <c r="H333" s="89">
        <v>0</v>
      </c>
      <c r="I333" s="89">
        <v>100</v>
      </c>
      <c r="J333" s="89">
        <v>0</v>
      </c>
      <c r="K333" s="89">
        <v>0</v>
      </c>
      <c r="L333" s="89">
        <v>6.3</v>
      </c>
      <c r="M333" s="89">
        <v>0</v>
      </c>
      <c r="N333" s="89">
        <v>0</v>
      </c>
      <c r="O333" s="89">
        <v>420</v>
      </c>
      <c r="P333" s="89">
        <v>25</v>
      </c>
      <c r="Q333" s="89">
        <v>0</v>
      </c>
      <c r="R333" s="89" t="s">
        <v>90</v>
      </c>
      <c r="S333" s="89" t="s">
        <v>90</v>
      </c>
      <c r="T333" s="89" t="s">
        <v>90</v>
      </c>
      <c r="U333" s="90" t="s">
        <v>90</v>
      </c>
    </row>
    <row r="334" spans="1:21">
      <c r="A334" s="88">
        <v>333</v>
      </c>
      <c r="B334" s="89">
        <v>24</v>
      </c>
      <c r="C334" s="89">
        <v>15</v>
      </c>
      <c r="D334" s="89" t="s">
        <v>41</v>
      </c>
      <c r="E334" s="89">
        <v>1</v>
      </c>
      <c r="F334" s="89">
        <v>0</v>
      </c>
      <c r="G334" s="89">
        <v>4459.89423468067</v>
      </c>
      <c r="H334" s="89">
        <v>0</v>
      </c>
      <c r="I334" s="89">
        <v>100</v>
      </c>
      <c r="J334" s="89">
        <v>0</v>
      </c>
      <c r="K334" s="89">
        <v>0</v>
      </c>
      <c r="L334" s="89">
        <v>43.45</v>
      </c>
      <c r="M334" s="89">
        <v>0</v>
      </c>
      <c r="N334" s="89">
        <v>0</v>
      </c>
      <c r="O334" s="89">
        <v>1400</v>
      </c>
      <c r="P334" s="89">
        <v>25</v>
      </c>
      <c r="Q334" s="89">
        <v>0</v>
      </c>
      <c r="R334" s="89" t="s">
        <v>90</v>
      </c>
      <c r="S334" s="89" t="s">
        <v>90</v>
      </c>
      <c r="T334" s="89" t="s">
        <v>90</v>
      </c>
      <c r="U334" s="90" t="s">
        <v>90</v>
      </c>
    </row>
    <row r="335" spans="1:21">
      <c r="A335" s="88">
        <v>334</v>
      </c>
      <c r="B335" s="89">
        <v>25</v>
      </c>
      <c r="C335" s="89">
        <v>1</v>
      </c>
      <c r="D335" s="89" t="s">
        <v>41</v>
      </c>
      <c r="E335" s="89">
        <v>1</v>
      </c>
      <c r="F335" s="89">
        <v>0</v>
      </c>
      <c r="G335" s="89">
        <v>-1</v>
      </c>
      <c r="H335" s="89">
        <v>35</v>
      </c>
      <c r="I335" s="89">
        <v>3</v>
      </c>
      <c r="J335" s="89">
        <v>48</v>
      </c>
      <c r="K335" s="89">
        <v>12</v>
      </c>
      <c r="L335" s="89">
        <v>6.2</v>
      </c>
      <c r="M335" s="89">
        <v>0.0272970987124464</v>
      </c>
      <c r="N335" s="89">
        <v>100</v>
      </c>
      <c r="O335" s="89">
        <v>350</v>
      </c>
      <c r="P335" s="89">
        <v>30</v>
      </c>
      <c r="Q335" s="89">
        <v>0.76</v>
      </c>
      <c r="R335" s="89" t="s">
        <v>90</v>
      </c>
      <c r="S335" s="89" t="s">
        <v>90</v>
      </c>
      <c r="T335" s="89" t="s">
        <v>90</v>
      </c>
      <c r="U335" s="90" t="s">
        <v>90</v>
      </c>
    </row>
    <row r="336" spans="1:21">
      <c r="A336" s="88">
        <v>335</v>
      </c>
      <c r="B336" s="89">
        <v>25</v>
      </c>
      <c r="C336" s="89">
        <v>2</v>
      </c>
      <c r="D336" s="89" t="s">
        <v>41</v>
      </c>
      <c r="E336" s="89">
        <v>1</v>
      </c>
      <c r="F336" s="89">
        <v>0</v>
      </c>
      <c r="G336" s="89">
        <v>-1</v>
      </c>
      <c r="H336" s="89">
        <v>50</v>
      </c>
      <c r="I336" s="89">
        <v>1</v>
      </c>
      <c r="J336" s="89">
        <v>24</v>
      </c>
      <c r="K336" s="89">
        <v>6</v>
      </c>
      <c r="L336" s="89">
        <v>6.2</v>
      </c>
      <c r="M336" s="89">
        <v>0.030578</v>
      </c>
      <c r="N336" s="89">
        <v>30</v>
      </c>
      <c r="O336" s="89">
        <v>420</v>
      </c>
      <c r="P336" s="89">
        <v>30</v>
      </c>
      <c r="Q336" s="89">
        <v>0.85</v>
      </c>
      <c r="R336" s="89" t="s">
        <v>90</v>
      </c>
      <c r="S336" s="89" t="s">
        <v>90</v>
      </c>
      <c r="T336" s="89" t="s">
        <v>90</v>
      </c>
      <c r="U336" s="90" t="s">
        <v>90</v>
      </c>
    </row>
    <row r="337" spans="1:21">
      <c r="A337" s="88">
        <v>336</v>
      </c>
      <c r="B337" s="89">
        <v>25</v>
      </c>
      <c r="C337" s="89">
        <v>3</v>
      </c>
      <c r="D337" s="89" t="s">
        <v>41</v>
      </c>
      <c r="E337" s="89">
        <v>1</v>
      </c>
      <c r="F337" s="89">
        <v>0</v>
      </c>
      <c r="G337" s="89">
        <v>4500</v>
      </c>
      <c r="H337" s="89">
        <v>30</v>
      </c>
      <c r="I337" s="89">
        <v>7</v>
      </c>
      <c r="J337" s="89">
        <v>2</v>
      </c>
      <c r="K337" s="89">
        <v>1</v>
      </c>
      <c r="L337" s="89">
        <v>9.8</v>
      </c>
      <c r="M337" s="89">
        <v>0.053048</v>
      </c>
      <c r="N337" s="89">
        <v>80</v>
      </c>
      <c r="O337" s="89">
        <v>200</v>
      </c>
      <c r="P337" s="89">
        <v>30</v>
      </c>
      <c r="Q337" s="89">
        <v>0.31</v>
      </c>
      <c r="R337" s="89" t="s">
        <v>90</v>
      </c>
      <c r="S337" s="89" t="s">
        <v>90</v>
      </c>
      <c r="T337" s="89" t="s">
        <v>90</v>
      </c>
      <c r="U337" s="90" t="s">
        <v>90</v>
      </c>
    </row>
    <row r="338" spans="1:21">
      <c r="A338" s="88">
        <v>337</v>
      </c>
      <c r="B338" s="89">
        <v>25</v>
      </c>
      <c r="C338" s="89">
        <v>11</v>
      </c>
      <c r="D338" s="89" t="s">
        <v>41</v>
      </c>
      <c r="E338" s="89">
        <v>1</v>
      </c>
      <c r="F338" s="89">
        <v>0</v>
      </c>
      <c r="G338" s="89">
        <v>20368.408626056</v>
      </c>
      <c r="H338" s="89">
        <v>0</v>
      </c>
      <c r="I338" s="89">
        <v>100</v>
      </c>
      <c r="J338" s="89">
        <v>0</v>
      </c>
      <c r="K338" s="89">
        <v>0</v>
      </c>
      <c r="L338" s="89">
        <v>6.65</v>
      </c>
      <c r="M338" s="89">
        <v>0</v>
      </c>
      <c r="N338" s="89">
        <v>0</v>
      </c>
      <c r="O338" s="89">
        <v>420</v>
      </c>
      <c r="P338" s="89">
        <v>25</v>
      </c>
      <c r="Q338" s="89">
        <v>0</v>
      </c>
      <c r="R338" s="89" t="s">
        <v>90</v>
      </c>
      <c r="S338" s="89" t="s">
        <v>90</v>
      </c>
      <c r="T338" s="89" t="s">
        <v>90</v>
      </c>
      <c r="U338" s="90" t="s">
        <v>90</v>
      </c>
    </row>
    <row r="339" spans="1:21">
      <c r="A339" s="88">
        <v>338</v>
      </c>
      <c r="B339" s="89">
        <v>25</v>
      </c>
      <c r="C339" s="89">
        <v>12</v>
      </c>
      <c r="D339" s="89" t="s">
        <v>41</v>
      </c>
      <c r="E339" s="89">
        <v>1</v>
      </c>
      <c r="F339" s="89">
        <v>0</v>
      </c>
      <c r="G339" s="89">
        <v>48093.6620607745</v>
      </c>
      <c r="H339" s="89">
        <v>0</v>
      </c>
      <c r="I339" s="89">
        <v>100</v>
      </c>
      <c r="J339" s="89">
        <v>0</v>
      </c>
      <c r="K339" s="89">
        <v>0</v>
      </c>
      <c r="L339" s="89">
        <v>6.3</v>
      </c>
      <c r="M339" s="89">
        <v>0</v>
      </c>
      <c r="N339" s="89">
        <v>0</v>
      </c>
      <c r="O339" s="89">
        <v>420</v>
      </c>
      <c r="P339" s="89">
        <v>25</v>
      </c>
      <c r="Q339" s="89">
        <v>0</v>
      </c>
      <c r="R339" s="89" t="s">
        <v>90</v>
      </c>
      <c r="S339" s="89" t="s">
        <v>90</v>
      </c>
      <c r="T339" s="89" t="s">
        <v>90</v>
      </c>
      <c r="U339" s="90" t="s">
        <v>90</v>
      </c>
    </row>
    <row r="340" spans="1:21">
      <c r="A340" s="88">
        <v>339</v>
      </c>
      <c r="B340" s="89">
        <v>25</v>
      </c>
      <c r="C340" s="89">
        <v>15</v>
      </c>
      <c r="D340" s="89" t="s">
        <v>41</v>
      </c>
      <c r="E340" s="89">
        <v>1</v>
      </c>
      <c r="F340" s="89">
        <v>0</v>
      </c>
      <c r="G340" s="89">
        <v>7288.93162235124</v>
      </c>
      <c r="H340" s="89">
        <v>0</v>
      </c>
      <c r="I340" s="89">
        <v>100</v>
      </c>
      <c r="J340" s="89">
        <v>0</v>
      </c>
      <c r="K340" s="89">
        <v>0</v>
      </c>
      <c r="L340" s="89">
        <v>43.45</v>
      </c>
      <c r="M340" s="89">
        <v>0</v>
      </c>
      <c r="N340" s="89">
        <v>0</v>
      </c>
      <c r="O340" s="89">
        <v>1400</v>
      </c>
      <c r="P340" s="89">
        <v>25</v>
      </c>
      <c r="Q340" s="89">
        <v>0</v>
      </c>
      <c r="R340" s="89" t="s">
        <v>90</v>
      </c>
      <c r="S340" s="89" t="s">
        <v>90</v>
      </c>
      <c r="T340" s="89" t="s">
        <v>90</v>
      </c>
      <c r="U340" s="90" t="s">
        <v>90</v>
      </c>
    </row>
    <row r="341" spans="1:21">
      <c r="A341" s="88">
        <v>340</v>
      </c>
      <c r="B341" s="89">
        <v>26</v>
      </c>
      <c r="C341" s="89">
        <v>1</v>
      </c>
      <c r="D341" s="89" t="s">
        <v>41</v>
      </c>
      <c r="E341" s="89">
        <v>1</v>
      </c>
      <c r="F341" s="89">
        <v>0</v>
      </c>
      <c r="G341" s="89">
        <v>-1</v>
      </c>
      <c r="H341" s="89">
        <v>35</v>
      </c>
      <c r="I341" s="89">
        <v>3</v>
      </c>
      <c r="J341" s="89">
        <v>48</v>
      </c>
      <c r="K341" s="89">
        <v>12</v>
      </c>
      <c r="L341" s="89">
        <v>6.2</v>
      </c>
      <c r="M341" s="89">
        <v>0.0272970987124464</v>
      </c>
      <c r="N341" s="89">
        <v>100</v>
      </c>
      <c r="O341" s="89">
        <v>350</v>
      </c>
      <c r="P341" s="89">
        <v>30</v>
      </c>
      <c r="Q341" s="89">
        <v>0.76</v>
      </c>
      <c r="R341" s="89" t="s">
        <v>90</v>
      </c>
      <c r="S341" s="89" t="s">
        <v>90</v>
      </c>
      <c r="T341" s="89" t="s">
        <v>90</v>
      </c>
      <c r="U341" s="90" t="s">
        <v>90</v>
      </c>
    </row>
    <row r="342" spans="1:21">
      <c r="A342" s="88">
        <v>341</v>
      </c>
      <c r="B342" s="89">
        <v>26</v>
      </c>
      <c r="C342" s="89">
        <v>2</v>
      </c>
      <c r="D342" s="89" t="s">
        <v>41</v>
      </c>
      <c r="E342" s="89">
        <v>1</v>
      </c>
      <c r="F342" s="89">
        <v>0</v>
      </c>
      <c r="G342" s="89">
        <v>-1</v>
      </c>
      <c r="H342" s="89">
        <v>50</v>
      </c>
      <c r="I342" s="89">
        <v>1</v>
      </c>
      <c r="J342" s="89">
        <v>24</v>
      </c>
      <c r="K342" s="89">
        <v>6</v>
      </c>
      <c r="L342" s="89">
        <v>6.2</v>
      </c>
      <c r="M342" s="89">
        <v>0.030578</v>
      </c>
      <c r="N342" s="89">
        <v>30</v>
      </c>
      <c r="O342" s="89">
        <v>420</v>
      </c>
      <c r="P342" s="89">
        <v>30</v>
      </c>
      <c r="Q342" s="89">
        <v>0.85</v>
      </c>
      <c r="R342" s="89" t="s">
        <v>90</v>
      </c>
      <c r="S342" s="89" t="s">
        <v>90</v>
      </c>
      <c r="T342" s="89" t="s">
        <v>90</v>
      </c>
      <c r="U342" s="90" t="s">
        <v>90</v>
      </c>
    </row>
    <row r="343" spans="1:21">
      <c r="A343" s="88">
        <v>342</v>
      </c>
      <c r="B343" s="89">
        <v>26</v>
      </c>
      <c r="C343" s="89">
        <v>3</v>
      </c>
      <c r="D343" s="89" t="s">
        <v>41</v>
      </c>
      <c r="E343" s="89">
        <v>1</v>
      </c>
      <c r="F343" s="89">
        <v>0</v>
      </c>
      <c r="G343" s="89">
        <v>4500</v>
      </c>
      <c r="H343" s="89">
        <v>30</v>
      </c>
      <c r="I343" s="89">
        <v>7</v>
      </c>
      <c r="J343" s="89">
        <v>2</v>
      </c>
      <c r="K343" s="89">
        <v>1</v>
      </c>
      <c r="L343" s="89">
        <v>9.8</v>
      </c>
      <c r="M343" s="89">
        <v>0.053048</v>
      </c>
      <c r="N343" s="89">
        <v>80</v>
      </c>
      <c r="O343" s="89">
        <v>200</v>
      </c>
      <c r="P343" s="89">
        <v>30</v>
      </c>
      <c r="Q343" s="89">
        <v>0.31</v>
      </c>
      <c r="R343" s="89" t="s">
        <v>90</v>
      </c>
      <c r="S343" s="89" t="s">
        <v>90</v>
      </c>
      <c r="T343" s="89" t="s">
        <v>90</v>
      </c>
      <c r="U343" s="90" t="s">
        <v>90</v>
      </c>
    </row>
    <row r="344" spans="1:21">
      <c r="A344" s="88">
        <v>343</v>
      </c>
      <c r="B344" s="89">
        <v>26</v>
      </c>
      <c r="C344" s="89">
        <v>11</v>
      </c>
      <c r="D344" s="89" t="s">
        <v>41</v>
      </c>
      <c r="E344" s="89">
        <v>1</v>
      </c>
      <c r="F344" s="89">
        <v>0</v>
      </c>
      <c r="G344" s="89">
        <v>6789.46954201867</v>
      </c>
      <c r="H344" s="89">
        <v>0</v>
      </c>
      <c r="I344" s="89">
        <v>100</v>
      </c>
      <c r="J344" s="89">
        <v>0</v>
      </c>
      <c r="K344" s="89">
        <v>0</v>
      </c>
      <c r="L344" s="89">
        <v>6.65</v>
      </c>
      <c r="M344" s="89">
        <v>0</v>
      </c>
      <c r="N344" s="89">
        <v>0</v>
      </c>
      <c r="O344" s="89">
        <v>420</v>
      </c>
      <c r="P344" s="89">
        <v>25</v>
      </c>
      <c r="Q344" s="89">
        <v>0</v>
      </c>
      <c r="R344" s="89" t="s">
        <v>90</v>
      </c>
      <c r="S344" s="89" t="s">
        <v>90</v>
      </c>
      <c r="T344" s="89" t="s">
        <v>90</v>
      </c>
      <c r="U344" s="90" t="s">
        <v>90</v>
      </c>
    </row>
    <row r="345" spans="1:21">
      <c r="A345" s="88">
        <v>344</v>
      </c>
      <c r="B345" s="89">
        <v>26</v>
      </c>
      <c r="C345" s="89">
        <v>12</v>
      </c>
      <c r="D345" s="89" t="s">
        <v>41</v>
      </c>
      <c r="E345" s="89">
        <v>1</v>
      </c>
      <c r="F345" s="89">
        <v>0</v>
      </c>
      <c r="G345" s="89">
        <v>30502.8315576932</v>
      </c>
      <c r="H345" s="89">
        <v>0</v>
      </c>
      <c r="I345" s="89">
        <v>100</v>
      </c>
      <c r="J345" s="89">
        <v>0</v>
      </c>
      <c r="K345" s="89">
        <v>0</v>
      </c>
      <c r="L345" s="89">
        <v>6.3</v>
      </c>
      <c r="M345" s="89">
        <v>0</v>
      </c>
      <c r="N345" s="89">
        <v>0</v>
      </c>
      <c r="O345" s="89">
        <v>420</v>
      </c>
      <c r="P345" s="89">
        <v>25</v>
      </c>
      <c r="Q345" s="89">
        <v>0</v>
      </c>
      <c r="R345" s="89" t="s">
        <v>90</v>
      </c>
      <c r="S345" s="89" t="s">
        <v>90</v>
      </c>
      <c r="T345" s="89" t="s">
        <v>90</v>
      </c>
      <c r="U345" s="90" t="s">
        <v>90</v>
      </c>
    </row>
    <row r="346" spans="1:21">
      <c r="A346" s="88">
        <v>345</v>
      </c>
      <c r="B346" s="89">
        <v>27</v>
      </c>
      <c r="C346" s="89">
        <v>3</v>
      </c>
      <c r="D346" s="89" t="s">
        <v>41</v>
      </c>
      <c r="E346" s="89">
        <v>1</v>
      </c>
      <c r="F346" s="89">
        <v>0</v>
      </c>
      <c r="G346" s="89">
        <v>4500</v>
      </c>
      <c r="H346" s="89">
        <v>30</v>
      </c>
      <c r="I346" s="89">
        <v>7</v>
      </c>
      <c r="J346" s="89">
        <v>2</v>
      </c>
      <c r="K346" s="89">
        <v>1</v>
      </c>
      <c r="L346" s="89">
        <v>9.8</v>
      </c>
      <c r="M346" s="89">
        <v>0.053048</v>
      </c>
      <c r="N346" s="89">
        <v>80</v>
      </c>
      <c r="O346" s="89">
        <v>200</v>
      </c>
      <c r="P346" s="89">
        <v>30</v>
      </c>
      <c r="Q346" s="89">
        <v>0.31</v>
      </c>
      <c r="R346" s="89" t="s">
        <v>90</v>
      </c>
      <c r="S346" s="89" t="s">
        <v>90</v>
      </c>
      <c r="T346" s="89" t="s">
        <v>90</v>
      </c>
      <c r="U346" s="90" t="s">
        <v>90</v>
      </c>
    </row>
    <row r="347" spans="1:21">
      <c r="A347" s="88">
        <v>346</v>
      </c>
      <c r="B347" s="89">
        <v>27</v>
      </c>
      <c r="C347" s="89">
        <v>4</v>
      </c>
      <c r="D347" s="89" t="s">
        <v>41</v>
      </c>
      <c r="E347" s="89">
        <v>1</v>
      </c>
      <c r="F347" s="89">
        <v>0</v>
      </c>
      <c r="G347" s="89">
        <v>965</v>
      </c>
      <c r="H347" s="89">
        <v>0</v>
      </c>
      <c r="I347" s="89">
        <v>100</v>
      </c>
      <c r="J347" s="89">
        <v>0</v>
      </c>
      <c r="K347" s="89">
        <v>0</v>
      </c>
      <c r="L347" s="89">
        <v>25.93</v>
      </c>
      <c r="M347" s="89">
        <v>0</v>
      </c>
      <c r="N347" s="89">
        <v>0</v>
      </c>
      <c r="O347" s="89">
        <v>1400</v>
      </c>
      <c r="P347" s="89">
        <v>80</v>
      </c>
      <c r="Q347" s="89">
        <v>0</v>
      </c>
      <c r="R347" s="89" t="s">
        <v>90</v>
      </c>
      <c r="S347" s="89" t="s">
        <v>90</v>
      </c>
      <c r="T347" s="89" t="s">
        <v>90</v>
      </c>
      <c r="U347" s="90" t="s">
        <v>90</v>
      </c>
    </row>
    <row r="348" spans="1:21">
      <c r="A348" s="88">
        <v>347</v>
      </c>
      <c r="B348" s="89">
        <v>27</v>
      </c>
      <c r="C348" s="89">
        <v>11</v>
      </c>
      <c r="D348" s="89" t="s">
        <v>41</v>
      </c>
      <c r="E348" s="89">
        <v>1</v>
      </c>
      <c r="F348" s="89">
        <v>0</v>
      </c>
      <c r="G348" s="89">
        <v>17916.6557358826</v>
      </c>
      <c r="H348" s="89">
        <v>0</v>
      </c>
      <c r="I348" s="89">
        <v>100</v>
      </c>
      <c r="J348" s="89">
        <v>0</v>
      </c>
      <c r="K348" s="89">
        <v>0</v>
      </c>
      <c r="L348" s="89">
        <v>6.65</v>
      </c>
      <c r="M348" s="89">
        <v>0</v>
      </c>
      <c r="N348" s="89">
        <v>0</v>
      </c>
      <c r="O348" s="89">
        <v>420</v>
      </c>
      <c r="P348" s="89">
        <v>25</v>
      </c>
      <c r="Q348" s="89">
        <v>0</v>
      </c>
      <c r="R348" s="89" t="s">
        <v>90</v>
      </c>
      <c r="S348" s="89" t="s">
        <v>90</v>
      </c>
      <c r="T348" s="89" t="s">
        <v>90</v>
      </c>
      <c r="U348" s="90" t="s">
        <v>90</v>
      </c>
    </row>
    <row r="349" spans="1:21">
      <c r="A349" s="88">
        <v>348</v>
      </c>
      <c r="B349" s="89">
        <v>27</v>
      </c>
      <c r="C349" s="89">
        <v>12</v>
      </c>
      <c r="D349" s="89" t="s">
        <v>41</v>
      </c>
      <c r="E349" s="89">
        <v>1</v>
      </c>
      <c r="F349" s="89">
        <v>0</v>
      </c>
      <c r="G349" s="89">
        <v>26563.3391373838</v>
      </c>
      <c r="H349" s="89">
        <v>0</v>
      </c>
      <c r="I349" s="89">
        <v>100</v>
      </c>
      <c r="J349" s="89">
        <v>0</v>
      </c>
      <c r="K349" s="89">
        <v>0</v>
      </c>
      <c r="L349" s="89">
        <v>6.3</v>
      </c>
      <c r="M349" s="89">
        <v>0</v>
      </c>
      <c r="N349" s="89">
        <v>0</v>
      </c>
      <c r="O349" s="89">
        <v>420</v>
      </c>
      <c r="P349" s="89">
        <v>25</v>
      </c>
      <c r="Q349" s="89">
        <v>0</v>
      </c>
      <c r="R349" s="89" t="s">
        <v>90</v>
      </c>
      <c r="S349" s="89" t="s">
        <v>90</v>
      </c>
      <c r="T349" s="89" t="s">
        <v>90</v>
      </c>
      <c r="U349" s="90" t="s">
        <v>90</v>
      </c>
    </row>
    <row r="350" spans="1:21">
      <c r="A350" s="88">
        <v>349</v>
      </c>
      <c r="B350" s="89">
        <v>28</v>
      </c>
      <c r="C350" s="89">
        <v>1</v>
      </c>
      <c r="D350" s="89" t="s">
        <v>41</v>
      </c>
      <c r="E350" s="89">
        <v>1</v>
      </c>
      <c r="F350" s="89">
        <v>0</v>
      </c>
      <c r="G350" s="89">
        <v>-1</v>
      </c>
      <c r="H350" s="89">
        <v>35</v>
      </c>
      <c r="I350" s="89">
        <v>3</v>
      </c>
      <c r="J350" s="89">
        <v>48</v>
      </c>
      <c r="K350" s="89">
        <v>12</v>
      </c>
      <c r="L350" s="89">
        <v>6.2</v>
      </c>
      <c r="M350" s="89">
        <v>0.0272970987124464</v>
      </c>
      <c r="N350" s="89">
        <v>100</v>
      </c>
      <c r="O350" s="89">
        <v>350</v>
      </c>
      <c r="P350" s="89">
        <v>30</v>
      </c>
      <c r="Q350" s="89">
        <v>0.76</v>
      </c>
      <c r="R350" s="89" t="s">
        <v>90</v>
      </c>
      <c r="S350" s="89" t="s">
        <v>90</v>
      </c>
      <c r="T350" s="89" t="s">
        <v>90</v>
      </c>
      <c r="U350" s="90" t="s">
        <v>90</v>
      </c>
    </row>
    <row r="351" spans="1:21">
      <c r="A351" s="88">
        <v>350</v>
      </c>
      <c r="B351" s="89">
        <v>28</v>
      </c>
      <c r="C351" s="89">
        <v>2</v>
      </c>
      <c r="D351" s="89" t="s">
        <v>41</v>
      </c>
      <c r="E351" s="89">
        <v>1</v>
      </c>
      <c r="F351" s="89">
        <v>0</v>
      </c>
      <c r="G351" s="89">
        <v>-1</v>
      </c>
      <c r="H351" s="89">
        <v>50</v>
      </c>
      <c r="I351" s="89">
        <v>1</v>
      </c>
      <c r="J351" s="89">
        <v>24</v>
      </c>
      <c r="K351" s="89">
        <v>6</v>
      </c>
      <c r="L351" s="89">
        <v>6.2</v>
      </c>
      <c r="M351" s="89">
        <v>0.030578</v>
      </c>
      <c r="N351" s="89">
        <v>30</v>
      </c>
      <c r="O351" s="89">
        <v>420</v>
      </c>
      <c r="P351" s="89">
        <v>30</v>
      </c>
      <c r="Q351" s="89">
        <v>0.85</v>
      </c>
      <c r="R351" s="89" t="s">
        <v>90</v>
      </c>
      <c r="S351" s="89" t="s">
        <v>90</v>
      </c>
      <c r="T351" s="89" t="s">
        <v>90</v>
      </c>
      <c r="U351" s="90" t="s">
        <v>90</v>
      </c>
    </row>
    <row r="352" spans="1:21">
      <c r="A352" s="88">
        <v>351</v>
      </c>
      <c r="B352" s="89">
        <v>28</v>
      </c>
      <c r="C352" s="89">
        <v>3</v>
      </c>
      <c r="D352" s="89" t="s">
        <v>41</v>
      </c>
      <c r="E352" s="89">
        <v>1</v>
      </c>
      <c r="F352" s="89">
        <v>0</v>
      </c>
      <c r="G352" s="89">
        <v>4500</v>
      </c>
      <c r="H352" s="89">
        <v>30</v>
      </c>
      <c r="I352" s="89">
        <v>7</v>
      </c>
      <c r="J352" s="89">
        <v>2</v>
      </c>
      <c r="K352" s="89">
        <v>1</v>
      </c>
      <c r="L352" s="89">
        <v>9.8</v>
      </c>
      <c r="M352" s="89">
        <v>0.053048</v>
      </c>
      <c r="N352" s="89">
        <v>80</v>
      </c>
      <c r="O352" s="89">
        <v>200</v>
      </c>
      <c r="P352" s="89">
        <v>30</v>
      </c>
      <c r="Q352" s="89">
        <v>0.31</v>
      </c>
      <c r="R352" s="89" t="s">
        <v>90</v>
      </c>
      <c r="S352" s="89" t="s">
        <v>90</v>
      </c>
      <c r="T352" s="89" t="s">
        <v>90</v>
      </c>
      <c r="U352" s="90" t="s">
        <v>90</v>
      </c>
    </row>
    <row r="353" spans="1:21">
      <c r="A353" s="88">
        <v>352</v>
      </c>
      <c r="B353" s="89">
        <v>28</v>
      </c>
      <c r="C353" s="89">
        <v>5</v>
      </c>
      <c r="D353" s="89" t="s">
        <v>41</v>
      </c>
      <c r="E353" s="89">
        <v>1</v>
      </c>
      <c r="F353" s="89">
        <v>0</v>
      </c>
      <c r="G353" s="89">
        <v>7500</v>
      </c>
      <c r="H353" s="89">
        <v>70</v>
      </c>
      <c r="I353" s="89">
        <v>0</v>
      </c>
      <c r="J353" s="89">
        <v>48</v>
      </c>
      <c r="K353" s="89">
        <v>12</v>
      </c>
      <c r="L353" s="89">
        <v>55.64</v>
      </c>
      <c r="M353" s="89">
        <v>0.004784</v>
      </c>
      <c r="N353" s="89">
        <v>120</v>
      </c>
      <c r="O353" s="89">
        <v>1750</v>
      </c>
      <c r="P353" s="89">
        <v>60</v>
      </c>
      <c r="Q353" s="89">
        <v>0</v>
      </c>
      <c r="R353" s="89" t="s">
        <v>90</v>
      </c>
      <c r="S353" s="89" t="s">
        <v>90</v>
      </c>
      <c r="T353" s="89" t="s">
        <v>90</v>
      </c>
      <c r="U353" s="90" t="s">
        <v>90</v>
      </c>
    </row>
    <row r="354" spans="1:21">
      <c r="A354" s="88">
        <v>353</v>
      </c>
      <c r="B354" s="89">
        <v>28</v>
      </c>
      <c r="C354" s="89">
        <v>11</v>
      </c>
      <c r="D354" s="89" t="s">
        <v>41</v>
      </c>
      <c r="E354" s="89">
        <v>1</v>
      </c>
      <c r="F354" s="89">
        <v>0</v>
      </c>
      <c r="G354" s="89">
        <v>23121.9157180969</v>
      </c>
      <c r="H354" s="89">
        <v>0</v>
      </c>
      <c r="I354" s="89">
        <v>100</v>
      </c>
      <c r="J354" s="89">
        <v>0</v>
      </c>
      <c r="K354" s="89">
        <v>0</v>
      </c>
      <c r="L354" s="89">
        <v>6.65</v>
      </c>
      <c r="M354" s="89">
        <v>0</v>
      </c>
      <c r="N354" s="89">
        <v>0</v>
      </c>
      <c r="O354" s="89">
        <v>420</v>
      </c>
      <c r="P354" s="89">
        <v>25</v>
      </c>
      <c r="Q354" s="89">
        <v>0</v>
      </c>
      <c r="R354" s="89" t="s">
        <v>90</v>
      </c>
      <c r="S354" s="89" t="s">
        <v>90</v>
      </c>
      <c r="T354" s="89" t="s">
        <v>90</v>
      </c>
      <c r="U354" s="90" t="s">
        <v>90</v>
      </c>
    </row>
    <row r="355" spans="1:21">
      <c r="A355" s="88">
        <v>354</v>
      </c>
      <c r="B355" s="89">
        <v>28</v>
      </c>
      <c r="C355" s="89">
        <v>12</v>
      </c>
      <c r="D355" s="89" t="s">
        <v>41</v>
      </c>
      <c r="E355" s="89">
        <v>1</v>
      </c>
      <c r="F355" s="89">
        <v>0</v>
      </c>
      <c r="G355" s="89">
        <v>21268.4140620291</v>
      </c>
      <c r="H355" s="89">
        <v>0</v>
      </c>
      <c r="I355" s="89">
        <v>100</v>
      </c>
      <c r="J355" s="89">
        <v>0</v>
      </c>
      <c r="K355" s="89">
        <v>0</v>
      </c>
      <c r="L355" s="89">
        <v>6.3</v>
      </c>
      <c r="M355" s="89">
        <v>0</v>
      </c>
      <c r="N355" s="89">
        <v>0</v>
      </c>
      <c r="O355" s="89">
        <v>420</v>
      </c>
      <c r="P355" s="89">
        <v>25</v>
      </c>
      <c r="Q355" s="89">
        <v>0</v>
      </c>
      <c r="R355" s="89" t="s">
        <v>90</v>
      </c>
      <c r="S355" s="89" t="s">
        <v>90</v>
      </c>
      <c r="T355" s="89" t="s">
        <v>90</v>
      </c>
      <c r="U355" s="90" t="s">
        <v>90</v>
      </c>
    </row>
    <row r="356" spans="1:21">
      <c r="A356" s="88">
        <v>355</v>
      </c>
      <c r="B356" s="89">
        <v>28</v>
      </c>
      <c r="C356" s="89">
        <v>15</v>
      </c>
      <c r="D356" s="89" t="s">
        <v>41</v>
      </c>
      <c r="E356" s="89">
        <v>1</v>
      </c>
      <c r="F356" s="89">
        <v>0</v>
      </c>
      <c r="G356" s="89">
        <v>5741.28175733146</v>
      </c>
      <c r="H356" s="89">
        <v>0</v>
      </c>
      <c r="I356" s="89">
        <v>100</v>
      </c>
      <c r="J356" s="89">
        <v>0</v>
      </c>
      <c r="K356" s="89">
        <v>0</v>
      </c>
      <c r="L356" s="89">
        <v>43.45</v>
      </c>
      <c r="M356" s="89">
        <v>0</v>
      </c>
      <c r="N356" s="89">
        <v>0</v>
      </c>
      <c r="O356" s="89">
        <v>1400</v>
      </c>
      <c r="P356" s="89">
        <v>25</v>
      </c>
      <c r="Q356" s="89">
        <v>0</v>
      </c>
      <c r="R356" s="89" t="s">
        <v>90</v>
      </c>
      <c r="S356" s="89" t="s">
        <v>90</v>
      </c>
      <c r="T356" s="89" t="s">
        <v>90</v>
      </c>
      <c r="U356" s="90" t="s">
        <v>90</v>
      </c>
    </row>
    <row r="357" spans="1:21">
      <c r="A357" s="88">
        <v>356</v>
      </c>
      <c r="B357" s="89">
        <v>29</v>
      </c>
      <c r="C357" s="89">
        <v>1</v>
      </c>
      <c r="D357" s="89" t="s">
        <v>53</v>
      </c>
      <c r="E357" s="89">
        <v>1</v>
      </c>
      <c r="F357" s="89">
        <v>0</v>
      </c>
      <c r="G357" s="89">
        <v>-1</v>
      </c>
      <c r="H357" s="89">
        <v>35</v>
      </c>
      <c r="I357" s="89">
        <v>3</v>
      </c>
      <c r="J357" s="89">
        <v>48</v>
      </c>
      <c r="K357" s="89">
        <v>12</v>
      </c>
      <c r="L357" s="89">
        <v>6.2</v>
      </c>
      <c r="M357" s="89">
        <v>0.0253626094420601</v>
      </c>
      <c r="N357" s="89">
        <v>100</v>
      </c>
      <c r="O357" s="89">
        <v>350</v>
      </c>
      <c r="P357" s="89">
        <v>30</v>
      </c>
      <c r="Q357" s="89">
        <v>0.76</v>
      </c>
      <c r="R357" s="89" t="s">
        <v>90</v>
      </c>
      <c r="S357" s="89" t="s">
        <v>90</v>
      </c>
      <c r="T357" s="89" t="s">
        <v>90</v>
      </c>
      <c r="U357" s="90" t="s">
        <v>90</v>
      </c>
    </row>
    <row r="358" spans="1:21">
      <c r="A358" s="88">
        <v>357</v>
      </c>
      <c r="B358" s="89">
        <v>29</v>
      </c>
      <c r="C358" s="89">
        <v>2</v>
      </c>
      <c r="D358" s="89" t="s">
        <v>53</v>
      </c>
      <c r="E358" s="89">
        <v>1</v>
      </c>
      <c r="F358" s="89">
        <v>0</v>
      </c>
      <c r="G358" s="89">
        <v>-1</v>
      </c>
      <c r="H358" s="89">
        <v>50</v>
      </c>
      <c r="I358" s="89">
        <v>1</v>
      </c>
      <c r="J358" s="89">
        <v>24</v>
      </c>
      <c r="K358" s="89">
        <v>6</v>
      </c>
      <c r="L358" s="89">
        <v>6.2</v>
      </c>
      <c r="M358" s="89">
        <v>0.028411</v>
      </c>
      <c r="N358" s="89">
        <v>30</v>
      </c>
      <c r="O358" s="89">
        <v>420</v>
      </c>
      <c r="P358" s="89">
        <v>30</v>
      </c>
      <c r="Q358" s="89">
        <v>0.85</v>
      </c>
      <c r="R358" s="89" t="s">
        <v>90</v>
      </c>
      <c r="S358" s="89" t="s">
        <v>90</v>
      </c>
      <c r="T358" s="89" t="s">
        <v>90</v>
      </c>
      <c r="U358" s="90" t="s">
        <v>90</v>
      </c>
    </row>
    <row r="359" spans="1:21">
      <c r="A359" s="88">
        <v>358</v>
      </c>
      <c r="B359" s="89">
        <v>29</v>
      </c>
      <c r="C359" s="89">
        <v>3</v>
      </c>
      <c r="D359" s="89" t="s">
        <v>53</v>
      </c>
      <c r="E359" s="89">
        <v>1</v>
      </c>
      <c r="F359" s="89">
        <v>0</v>
      </c>
      <c r="G359" s="89">
        <v>330</v>
      </c>
      <c r="H359" s="89">
        <v>30</v>
      </c>
      <c r="I359" s="89">
        <v>7</v>
      </c>
      <c r="J359" s="89">
        <v>2</v>
      </c>
      <c r="K359" s="89">
        <v>1</v>
      </c>
      <c r="L359" s="89">
        <v>9.8</v>
      </c>
      <c r="M359" s="89">
        <v>0.051012</v>
      </c>
      <c r="N359" s="89">
        <v>80</v>
      </c>
      <c r="O359" s="89">
        <v>200</v>
      </c>
      <c r="P359" s="89">
        <v>30</v>
      </c>
      <c r="Q359" s="89">
        <v>0.31</v>
      </c>
      <c r="R359" s="89" t="s">
        <v>90</v>
      </c>
      <c r="S359" s="89" t="s">
        <v>90</v>
      </c>
      <c r="T359" s="89" t="s">
        <v>90</v>
      </c>
      <c r="U359" s="90" t="s">
        <v>90</v>
      </c>
    </row>
    <row r="360" spans="1:21">
      <c r="A360" s="88">
        <v>359</v>
      </c>
      <c r="B360" s="89">
        <v>29</v>
      </c>
      <c r="C360" s="89">
        <v>12</v>
      </c>
      <c r="D360" s="89" t="s">
        <v>53</v>
      </c>
      <c r="E360" s="89">
        <v>1</v>
      </c>
      <c r="F360" s="89">
        <v>0</v>
      </c>
      <c r="G360" s="89">
        <v>60663.0602229618</v>
      </c>
      <c r="H360" s="89">
        <v>0</v>
      </c>
      <c r="I360" s="89">
        <v>100</v>
      </c>
      <c r="J360" s="89">
        <v>0</v>
      </c>
      <c r="K360" s="89">
        <v>0</v>
      </c>
      <c r="L360" s="89">
        <v>6.3</v>
      </c>
      <c r="M360" s="89">
        <v>0</v>
      </c>
      <c r="N360" s="89">
        <v>0</v>
      </c>
      <c r="O360" s="89">
        <v>420</v>
      </c>
      <c r="P360" s="89">
        <v>25</v>
      </c>
      <c r="Q360" s="89">
        <v>0</v>
      </c>
      <c r="R360" s="89" t="s">
        <v>90</v>
      </c>
      <c r="S360" s="89" t="s">
        <v>90</v>
      </c>
      <c r="T360" s="89" t="s">
        <v>90</v>
      </c>
      <c r="U360" s="90" t="s">
        <v>90</v>
      </c>
    </row>
    <row r="361" spans="1:21">
      <c r="A361" s="88">
        <v>360</v>
      </c>
      <c r="B361" s="89">
        <v>30</v>
      </c>
      <c r="C361" s="89">
        <v>1</v>
      </c>
      <c r="D361" s="89" t="s">
        <v>53</v>
      </c>
      <c r="E361" s="89">
        <v>1</v>
      </c>
      <c r="F361" s="89">
        <v>0</v>
      </c>
      <c r="G361" s="89">
        <v>-1</v>
      </c>
      <c r="H361" s="89">
        <v>35</v>
      </c>
      <c r="I361" s="89">
        <v>3</v>
      </c>
      <c r="J361" s="89">
        <v>48</v>
      </c>
      <c r="K361" s="89">
        <v>12</v>
      </c>
      <c r="L361" s="89">
        <v>6.2</v>
      </c>
      <c r="M361" s="89">
        <v>0.0253626094420601</v>
      </c>
      <c r="N361" s="89">
        <v>100</v>
      </c>
      <c r="O361" s="89">
        <v>350</v>
      </c>
      <c r="P361" s="89">
        <v>30</v>
      </c>
      <c r="Q361" s="89">
        <v>0.76</v>
      </c>
      <c r="R361" s="89" t="s">
        <v>90</v>
      </c>
      <c r="S361" s="89" t="s">
        <v>90</v>
      </c>
      <c r="T361" s="89" t="s">
        <v>90</v>
      </c>
      <c r="U361" s="90" t="s">
        <v>90</v>
      </c>
    </row>
    <row r="362" spans="1:21">
      <c r="A362" s="88">
        <v>361</v>
      </c>
      <c r="B362" s="89">
        <v>30</v>
      </c>
      <c r="C362" s="89">
        <v>2</v>
      </c>
      <c r="D362" s="89" t="s">
        <v>53</v>
      </c>
      <c r="E362" s="89">
        <v>1</v>
      </c>
      <c r="F362" s="89">
        <v>0</v>
      </c>
      <c r="G362" s="89">
        <v>-1</v>
      </c>
      <c r="H362" s="89">
        <v>50</v>
      </c>
      <c r="I362" s="89">
        <v>1</v>
      </c>
      <c r="J362" s="89">
        <v>24</v>
      </c>
      <c r="K362" s="89">
        <v>6</v>
      </c>
      <c r="L362" s="89">
        <v>6.2</v>
      </c>
      <c r="M362" s="89">
        <v>0.028411</v>
      </c>
      <c r="N362" s="89">
        <v>30</v>
      </c>
      <c r="O362" s="89">
        <v>420</v>
      </c>
      <c r="P362" s="89">
        <v>30</v>
      </c>
      <c r="Q362" s="89">
        <v>0.85</v>
      </c>
      <c r="R362" s="89" t="s">
        <v>90</v>
      </c>
      <c r="S362" s="89" t="s">
        <v>90</v>
      </c>
      <c r="T362" s="89" t="s">
        <v>90</v>
      </c>
      <c r="U362" s="90" t="s">
        <v>90</v>
      </c>
    </row>
    <row r="363" spans="1:21">
      <c r="A363" s="88">
        <v>362</v>
      </c>
      <c r="B363" s="89">
        <v>30</v>
      </c>
      <c r="C363" s="89">
        <v>3</v>
      </c>
      <c r="D363" s="89" t="s">
        <v>53</v>
      </c>
      <c r="E363" s="89">
        <v>1</v>
      </c>
      <c r="F363" s="89">
        <v>0</v>
      </c>
      <c r="G363" s="89">
        <v>1320</v>
      </c>
      <c r="H363" s="89">
        <v>30</v>
      </c>
      <c r="I363" s="89">
        <v>7</v>
      </c>
      <c r="J363" s="89">
        <v>2</v>
      </c>
      <c r="K363" s="89">
        <v>1</v>
      </c>
      <c r="L363" s="89">
        <v>9.8</v>
      </c>
      <c r="M363" s="89">
        <v>0.051012</v>
      </c>
      <c r="N363" s="89">
        <v>80</v>
      </c>
      <c r="O363" s="89">
        <v>200</v>
      </c>
      <c r="P363" s="89">
        <v>30</v>
      </c>
      <c r="Q363" s="89">
        <v>0.31</v>
      </c>
      <c r="R363" s="89" t="s">
        <v>90</v>
      </c>
      <c r="S363" s="89" t="s">
        <v>90</v>
      </c>
      <c r="T363" s="89" t="s">
        <v>90</v>
      </c>
      <c r="U363" s="90" t="s">
        <v>90</v>
      </c>
    </row>
    <row r="364" spans="1:21">
      <c r="A364" s="88">
        <v>363</v>
      </c>
      <c r="B364" s="89">
        <v>30</v>
      </c>
      <c r="C364" s="89">
        <v>11</v>
      </c>
      <c r="D364" s="89" t="s">
        <v>53</v>
      </c>
      <c r="E364" s="89">
        <v>1</v>
      </c>
      <c r="F364" s="89">
        <v>0</v>
      </c>
      <c r="G364" s="89">
        <v>40761.7924528302</v>
      </c>
      <c r="H364" s="89">
        <v>0</v>
      </c>
      <c r="I364" s="89">
        <v>100</v>
      </c>
      <c r="J364" s="89">
        <v>0</v>
      </c>
      <c r="K364" s="89">
        <v>0</v>
      </c>
      <c r="L364" s="89">
        <v>6.65</v>
      </c>
      <c r="M364" s="89">
        <v>0</v>
      </c>
      <c r="N364" s="89">
        <v>0</v>
      </c>
      <c r="O364" s="89">
        <v>420</v>
      </c>
      <c r="P364" s="89">
        <v>25</v>
      </c>
      <c r="Q364" s="89">
        <v>0</v>
      </c>
      <c r="R364" s="89" t="s">
        <v>90</v>
      </c>
      <c r="S364" s="89" t="s">
        <v>90</v>
      </c>
      <c r="T364" s="89" t="s">
        <v>90</v>
      </c>
      <c r="U364" s="90" t="s">
        <v>90</v>
      </c>
    </row>
    <row r="365" spans="1:21">
      <c r="A365" s="88">
        <v>364</v>
      </c>
      <c r="B365" s="89">
        <v>30</v>
      </c>
      <c r="C365" s="89">
        <v>12</v>
      </c>
      <c r="D365" s="89" t="s">
        <v>53</v>
      </c>
      <c r="E365" s="89">
        <v>1</v>
      </c>
      <c r="F365" s="89">
        <v>0</v>
      </c>
      <c r="G365" s="89">
        <v>172664.946251671</v>
      </c>
      <c r="H365" s="89">
        <v>0</v>
      </c>
      <c r="I365" s="89">
        <v>100</v>
      </c>
      <c r="J365" s="89">
        <v>0</v>
      </c>
      <c r="K365" s="89">
        <v>0</v>
      </c>
      <c r="L365" s="89">
        <v>6.3</v>
      </c>
      <c r="M365" s="89">
        <v>0</v>
      </c>
      <c r="N365" s="89">
        <v>0</v>
      </c>
      <c r="O365" s="89">
        <v>420</v>
      </c>
      <c r="P365" s="89">
        <v>25</v>
      </c>
      <c r="Q365" s="89">
        <v>0</v>
      </c>
      <c r="R365" s="89" t="s">
        <v>90</v>
      </c>
      <c r="S365" s="89" t="s">
        <v>90</v>
      </c>
      <c r="T365" s="89" t="s">
        <v>90</v>
      </c>
      <c r="U365" s="90" t="s">
        <v>90</v>
      </c>
    </row>
    <row r="366" spans="1:21">
      <c r="A366" s="88">
        <v>365</v>
      </c>
      <c r="B366" s="89">
        <v>30</v>
      </c>
      <c r="C366" s="89">
        <v>14</v>
      </c>
      <c r="D366" s="89" t="s">
        <v>53</v>
      </c>
      <c r="E366" s="89">
        <v>1</v>
      </c>
      <c r="F366" s="89">
        <v>0</v>
      </c>
      <c r="G366" s="89">
        <v>8026.32820118874</v>
      </c>
      <c r="H366" s="89">
        <v>0</v>
      </c>
      <c r="I366" s="89">
        <v>100</v>
      </c>
      <c r="J366" s="89">
        <v>0</v>
      </c>
      <c r="K366" s="89">
        <v>0</v>
      </c>
      <c r="L366" s="89">
        <v>14.6</v>
      </c>
      <c r="M366" s="89">
        <v>0</v>
      </c>
      <c r="N366" s="89">
        <v>0</v>
      </c>
      <c r="O366" s="89">
        <v>520</v>
      </c>
      <c r="P366" s="89">
        <v>25</v>
      </c>
      <c r="Q366" s="89">
        <v>0</v>
      </c>
      <c r="R366" s="89" t="s">
        <v>90</v>
      </c>
      <c r="S366" s="89" t="s">
        <v>90</v>
      </c>
      <c r="T366" s="89" t="s">
        <v>90</v>
      </c>
      <c r="U366" s="90" t="s">
        <v>90</v>
      </c>
    </row>
    <row r="367" spans="1:21">
      <c r="A367" s="88">
        <v>366</v>
      </c>
      <c r="B367" s="89">
        <v>31</v>
      </c>
      <c r="C367" s="89">
        <v>1</v>
      </c>
      <c r="D367" s="89" t="s">
        <v>53</v>
      </c>
      <c r="E367" s="89">
        <v>1</v>
      </c>
      <c r="F367" s="89">
        <v>0</v>
      </c>
      <c r="G367" s="89">
        <v>-1</v>
      </c>
      <c r="H367" s="89">
        <v>35</v>
      </c>
      <c r="I367" s="89">
        <v>3</v>
      </c>
      <c r="J367" s="89">
        <v>48</v>
      </c>
      <c r="K367" s="89">
        <v>12</v>
      </c>
      <c r="L367" s="89">
        <v>6.2</v>
      </c>
      <c r="M367" s="89">
        <v>0.0253626094420601</v>
      </c>
      <c r="N367" s="89">
        <v>100</v>
      </c>
      <c r="O367" s="89">
        <v>350</v>
      </c>
      <c r="P367" s="89">
        <v>30</v>
      </c>
      <c r="Q367" s="89">
        <v>0.76</v>
      </c>
      <c r="R367" s="89" t="s">
        <v>90</v>
      </c>
      <c r="S367" s="89" t="s">
        <v>90</v>
      </c>
      <c r="T367" s="89" t="s">
        <v>90</v>
      </c>
      <c r="U367" s="90" t="s">
        <v>90</v>
      </c>
    </row>
    <row r="368" spans="1:21">
      <c r="A368" s="88">
        <v>367</v>
      </c>
      <c r="B368" s="89">
        <v>31</v>
      </c>
      <c r="C368" s="89">
        <v>2</v>
      </c>
      <c r="D368" s="89" t="s">
        <v>53</v>
      </c>
      <c r="E368" s="89">
        <v>1</v>
      </c>
      <c r="F368" s="89">
        <v>0</v>
      </c>
      <c r="G368" s="89">
        <v>-1</v>
      </c>
      <c r="H368" s="89">
        <v>50</v>
      </c>
      <c r="I368" s="89">
        <v>1</v>
      </c>
      <c r="J368" s="89">
        <v>24</v>
      </c>
      <c r="K368" s="89">
        <v>6</v>
      </c>
      <c r="L368" s="89">
        <v>6.2</v>
      </c>
      <c r="M368" s="89">
        <v>0.028411</v>
      </c>
      <c r="N368" s="89">
        <v>30</v>
      </c>
      <c r="O368" s="89">
        <v>420</v>
      </c>
      <c r="P368" s="89">
        <v>30</v>
      </c>
      <c r="Q368" s="89">
        <v>0.85</v>
      </c>
      <c r="R368" s="89" t="s">
        <v>90</v>
      </c>
      <c r="S368" s="89" t="s">
        <v>90</v>
      </c>
      <c r="T368" s="89" t="s">
        <v>90</v>
      </c>
      <c r="U368" s="90" t="s">
        <v>90</v>
      </c>
    </row>
    <row r="369" spans="1:21">
      <c r="A369" s="88">
        <v>368</v>
      </c>
      <c r="B369" s="89">
        <v>31</v>
      </c>
      <c r="C369" s="89">
        <v>3</v>
      </c>
      <c r="D369" s="89" t="s">
        <v>53</v>
      </c>
      <c r="E369" s="89">
        <v>1</v>
      </c>
      <c r="F369" s="89">
        <v>0</v>
      </c>
      <c r="G369" s="89">
        <v>330</v>
      </c>
      <c r="H369" s="89">
        <v>30</v>
      </c>
      <c r="I369" s="89">
        <v>7</v>
      </c>
      <c r="J369" s="89">
        <v>2</v>
      </c>
      <c r="K369" s="89">
        <v>1</v>
      </c>
      <c r="L369" s="89">
        <v>9.8</v>
      </c>
      <c r="M369" s="89">
        <v>0.051012</v>
      </c>
      <c r="N369" s="89">
        <v>80</v>
      </c>
      <c r="O369" s="89">
        <v>200</v>
      </c>
      <c r="P369" s="89">
        <v>30</v>
      </c>
      <c r="Q369" s="89">
        <v>0.31</v>
      </c>
      <c r="R369" s="89" t="s">
        <v>90</v>
      </c>
      <c r="S369" s="89" t="s">
        <v>90</v>
      </c>
      <c r="T369" s="89" t="s">
        <v>90</v>
      </c>
      <c r="U369" s="90" t="s">
        <v>90</v>
      </c>
    </row>
    <row r="370" spans="1:21">
      <c r="A370" s="88">
        <v>369</v>
      </c>
      <c r="B370" s="89">
        <v>31</v>
      </c>
      <c r="C370" s="89">
        <v>4</v>
      </c>
      <c r="D370" s="89" t="s">
        <v>53</v>
      </c>
      <c r="E370" s="89">
        <v>1</v>
      </c>
      <c r="F370" s="89">
        <v>0</v>
      </c>
      <c r="G370" s="89">
        <v>1447.5</v>
      </c>
      <c r="H370" s="89">
        <v>0</v>
      </c>
      <c r="I370" s="89">
        <v>100</v>
      </c>
      <c r="J370" s="89">
        <v>0</v>
      </c>
      <c r="K370" s="89">
        <v>0</v>
      </c>
      <c r="L370" s="89">
        <v>25.93</v>
      </c>
      <c r="M370" s="89">
        <v>0</v>
      </c>
      <c r="N370" s="89">
        <v>0</v>
      </c>
      <c r="O370" s="89">
        <v>1400</v>
      </c>
      <c r="P370" s="89">
        <v>80</v>
      </c>
      <c r="Q370" s="89">
        <v>0</v>
      </c>
      <c r="R370" s="89" t="s">
        <v>90</v>
      </c>
      <c r="S370" s="89" t="s">
        <v>90</v>
      </c>
      <c r="T370" s="89" t="s">
        <v>90</v>
      </c>
      <c r="U370" s="90" t="s">
        <v>90</v>
      </c>
    </row>
    <row r="371" spans="1:21">
      <c r="A371" s="88">
        <v>370</v>
      </c>
      <c r="B371" s="89">
        <v>31</v>
      </c>
      <c r="C371" s="89">
        <v>11</v>
      </c>
      <c r="D371" s="89" t="s">
        <v>53</v>
      </c>
      <c r="E371" s="89">
        <v>1</v>
      </c>
      <c r="F371" s="89">
        <v>0</v>
      </c>
      <c r="G371" s="89">
        <v>8061.77672955975</v>
      </c>
      <c r="H371" s="89">
        <v>0</v>
      </c>
      <c r="I371" s="89">
        <v>100</v>
      </c>
      <c r="J371" s="89">
        <v>0</v>
      </c>
      <c r="K371" s="89">
        <v>0</v>
      </c>
      <c r="L371" s="89">
        <v>6.65</v>
      </c>
      <c r="M371" s="89">
        <v>0</v>
      </c>
      <c r="N371" s="89">
        <v>0</v>
      </c>
      <c r="O371" s="89">
        <v>420</v>
      </c>
      <c r="P371" s="89">
        <v>25</v>
      </c>
      <c r="Q371" s="89">
        <v>0</v>
      </c>
      <c r="R371" s="89" t="s">
        <v>90</v>
      </c>
      <c r="S371" s="89" t="s">
        <v>90</v>
      </c>
      <c r="T371" s="89" t="s">
        <v>90</v>
      </c>
      <c r="U371" s="90" t="s">
        <v>90</v>
      </c>
    </row>
    <row r="372" spans="1:21">
      <c r="A372" s="88">
        <v>371</v>
      </c>
      <c r="B372" s="89">
        <v>31</v>
      </c>
      <c r="C372" s="89">
        <v>12</v>
      </c>
      <c r="D372" s="89" t="s">
        <v>53</v>
      </c>
      <c r="E372" s="89">
        <v>1</v>
      </c>
      <c r="F372" s="89">
        <v>0</v>
      </c>
      <c r="G372" s="89">
        <v>18377.6247712955</v>
      </c>
      <c r="H372" s="89">
        <v>0</v>
      </c>
      <c r="I372" s="89">
        <v>100</v>
      </c>
      <c r="J372" s="89">
        <v>0</v>
      </c>
      <c r="K372" s="89">
        <v>0</v>
      </c>
      <c r="L372" s="89">
        <v>6.3</v>
      </c>
      <c r="M372" s="89">
        <v>0</v>
      </c>
      <c r="N372" s="89">
        <v>0</v>
      </c>
      <c r="O372" s="89">
        <v>420</v>
      </c>
      <c r="P372" s="89">
        <v>25</v>
      </c>
      <c r="Q372" s="89">
        <v>0</v>
      </c>
      <c r="R372" s="89" t="s">
        <v>90</v>
      </c>
      <c r="S372" s="89" t="s">
        <v>90</v>
      </c>
      <c r="T372" s="89" t="s">
        <v>90</v>
      </c>
      <c r="U372" s="90" t="s">
        <v>90</v>
      </c>
    </row>
    <row r="373" spans="1:21">
      <c r="A373" s="88">
        <v>372</v>
      </c>
      <c r="B373" s="89">
        <v>32</v>
      </c>
      <c r="C373" s="89">
        <v>1</v>
      </c>
      <c r="D373" s="89" t="s">
        <v>53</v>
      </c>
      <c r="E373" s="89">
        <v>1</v>
      </c>
      <c r="F373" s="89">
        <v>0</v>
      </c>
      <c r="G373" s="89">
        <v>-1</v>
      </c>
      <c r="H373" s="89">
        <v>35</v>
      </c>
      <c r="I373" s="89">
        <v>3</v>
      </c>
      <c r="J373" s="89">
        <v>48</v>
      </c>
      <c r="K373" s="89">
        <v>12</v>
      </c>
      <c r="L373" s="89">
        <v>6.2</v>
      </c>
      <c r="M373" s="89">
        <v>0.0253626094420601</v>
      </c>
      <c r="N373" s="89">
        <v>100</v>
      </c>
      <c r="O373" s="89">
        <v>350</v>
      </c>
      <c r="P373" s="89">
        <v>30</v>
      </c>
      <c r="Q373" s="89">
        <v>0.76</v>
      </c>
      <c r="R373" s="89" t="s">
        <v>90</v>
      </c>
      <c r="S373" s="89" t="s">
        <v>90</v>
      </c>
      <c r="T373" s="89" t="s">
        <v>90</v>
      </c>
      <c r="U373" s="90" t="s">
        <v>90</v>
      </c>
    </row>
    <row r="374" spans="1:21">
      <c r="A374" s="88">
        <v>373</v>
      </c>
      <c r="B374" s="89">
        <v>32</v>
      </c>
      <c r="C374" s="89">
        <v>2</v>
      </c>
      <c r="D374" s="89" t="s">
        <v>53</v>
      </c>
      <c r="E374" s="89">
        <v>1</v>
      </c>
      <c r="F374" s="89">
        <v>0</v>
      </c>
      <c r="G374" s="89">
        <v>-1</v>
      </c>
      <c r="H374" s="89">
        <v>50</v>
      </c>
      <c r="I374" s="89">
        <v>1</v>
      </c>
      <c r="J374" s="89">
        <v>24</v>
      </c>
      <c r="K374" s="89">
        <v>6</v>
      </c>
      <c r="L374" s="89">
        <v>6.2</v>
      </c>
      <c r="M374" s="89">
        <v>0.028411</v>
      </c>
      <c r="N374" s="89">
        <v>30</v>
      </c>
      <c r="O374" s="89">
        <v>420</v>
      </c>
      <c r="P374" s="89">
        <v>30</v>
      </c>
      <c r="Q374" s="89">
        <v>0.85</v>
      </c>
      <c r="R374" s="89" t="s">
        <v>90</v>
      </c>
      <c r="S374" s="89" t="s">
        <v>90</v>
      </c>
      <c r="T374" s="89" t="s">
        <v>90</v>
      </c>
      <c r="U374" s="90" t="s">
        <v>90</v>
      </c>
    </row>
    <row r="375" spans="1:21">
      <c r="A375" s="88">
        <v>374</v>
      </c>
      <c r="B375" s="89">
        <v>32</v>
      </c>
      <c r="C375" s="89">
        <v>3</v>
      </c>
      <c r="D375" s="89" t="s">
        <v>53</v>
      </c>
      <c r="E375" s="89">
        <v>1</v>
      </c>
      <c r="F375" s="89">
        <v>0</v>
      </c>
      <c r="G375" s="89">
        <v>990</v>
      </c>
      <c r="H375" s="89">
        <v>30</v>
      </c>
      <c r="I375" s="89">
        <v>7</v>
      </c>
      <c r="J375" s="89">
        <v>2</v>
      </c>
      <c r="K375" s="89">
        <v>1</v>
      </c>
      <c r="L375" s="89">
        <v>9.8</v>
      </c>
      <c r="M375" s="89">
        <v>0.051012</v>
      </c>
      <c r="N375" s="89">
        <v>80</v>
      </c>
      <c r="O375" s="89">
        <v>200</v>
      </c>
      <c r="P375" s="89">
        <v>30</v>
      </c>
      <c r="Q375" s="89">
        <v>0.31</v>
      </c>
      <c r="R375" s="89" t="s">
        <v>90</v>
      </c>
      <c r="S375" s="89" t="s">
        <v>90</v>
      </c>
      <c r="T375" s="89" t="s">
        <v>90</v>
      </c>
      <c r="U375" s="90" t="s">
        <v>90</v>
      </c>
    </row>
    <row r="376" spans="1:21">
      <c r="A376" s="88">
        <v>375</v>
      </c>
      <c r="B376" s="89">
        <v>32</v>
      </c>
      <c r="C376" s="89">
        <v>12</v>
      </c>
      <c r="D376" s="89" t="s">
        <v>53</v>
      </c>
      <c r="E376" s="89">
        <v>1</v>
      </c>
      <c r="F376" s="89">
        <v>0</v>
      </c>
      <c r="G376" s="89">
        <v>182822.140958094</v>
      </c>
      <c r="H376" s="89">
        <v>0</v>
      </c>
      <c r="I376" s="89">
        <v>100</v>
      </c>
      <c r="J376" s="89">
        <v>0</v>
      </c>
      <c r="K376" s="89">
        <v>0</v>
      </c>
      <c r="L376" s="89">
        <v>6.3</v>
      </c>
      <c r="M376" s="89">
        <v>0</v>
      </c>
      <c r="N376" s="89">
        <v>0</v>
      </c>
      <c r="O376" s="89">
        <v>420</v>
      </c>
      <c r="P376" s="89">
        <v>25</v>
      </c>
      <c r="Q376" s="89">
        <v>0</v>
      </c>
      <c r="R376" s="89" t="s">
        <v>90</v>
      </c>
      <c r="S376" s="89" t="s">
        <v>90</v>
      </c>
      <c r="T376" s="89" t="s">
        <v>90</v>
      </c>
      <c r="U376" s="90" t="s">
        <v>90</v>
      </c>
    </row>
    <row r="377" spans="1:21">
      <c r="A377" s="88">
        <v>376</v>
      </c>
      <c r="B377" s="89">
        <v>32</v>
      </c>
      <c r="C377" s="89">
        <v>14</v>
      </c>
      <c r="D377" s="89" t="s">
        <v>53</v>
      </c>
      <c r="E377" s="89">
        <v>1</v>
      </c>
      <c r="F377" s="89">
        <v>0</v>
      </c>
      <c r="G377" s="89">
        <v>20926.0891575846</v>
      </c>
      <c r="H377" s="89">
        <v>0</v>
      </c>
      <c r="I377" s="89">
        <v>100</v>
      </c>
      <c r="J377" s="89">
        <v>0</v>
      </c>
      <c r="K377" s="89">
        <v>0</v>
      </c>
      <c r="L377" s="89">
        <v>14.6</v>
      </c>
      <c r="M377" s="89">
        <v>0</v>
      </c>
      <c r="N377" s="89">
        <v>0</v>
      </c>
      <c r="O377" s="89">
        <v>520</v>
      </c>
      <c r="P377" s="89">
        <v>25</v>
      </c>
      <c r="Q377" s="89">
        <v>0</v>
      </c>
      <c r="R377" s="89" t="s">
        <v>90</v>
      </c>
      <c r="S377" s="89" t="s">
        <v>90</v>
      </c>
      <c r="T377" s="89" t="s">
        <v>90</v>
      </c>
      <c r="U377" s="90" t="s">
        <v>90</v>
      </c>
    </row>
    <row r="378" spans="1:21">
      <c r="A378" s="88">
        <v>377</v>
      </c>
      <c r="B378" s="89">
        <v>33</v>
      </c>
      <c r="C378" s="89">
        <v>1</v>
      </c>
      <c r="D378" s="89" t="s">
        <v>53</v>
      </c>
      <c r="E378" s="89">
        <v>1</v>
      </c>
      <c r="F378" s="89">
        <v>0</v>
      </c>
      <c r="G378" s="89">
        <v>-1</v>
      </c>
      <c r="H378" s="89">
        <v>35</v>
      </c>
      <c r="I378" s="89">
        <v>3</v>
      </c>
      <c r="J378" s="89">
        <v>48</v>
      </c>
      <c r="K378" s="89">
        <v>12</v>
      </c>
      <c r="L378" s="89">
        <v>6.2</v>
      </c>
      <c r="M378" s="89">
        <v>0.0253626094420601</v>
      </c>
      <c r="N378" s="89">
        <v>100</v>
      </c>
      <c r="O378" s="89">
        <v>350</v>
      </c>
      <c r="P378" s="89">
        <v>30</v>
      </c>
      <c r="Q378" s="89">
        <v>0.76</v>
      </c>
      <c r="R378" s="89" t="s">
        <v>90</v>
      </c>
      <c r="S378" s="89" t="s">
        <v>90</v>
      </c>
      <c r="T378" s="89" t="s">
        <v>90</v>
      </c>
      <c r="U378" s="90" t="s">
        <v>90</v>
      </c>
    </row>
    <row r="379" spans="1:21">
      <c r="A379" s="88">
        <v>378</v>
      </c>
      <c r="B379" s="89">
        <v>33</v>
      </c>
      <c r="C379" s="89">
        <v>2</v>
      </c>
      <c r="D379" s="89" t="s">
        <v>53</v>
      </c>
      <c r="E379" s="89">
        <v>1</v>
      </c>
      <c r="F379" s="89">
        <v>0</v>
      </c>
      <c r="G379" s="89">
        <v>-1</v>
      </c>
      <c r="H379" s="89">
        <v>50</v>
      </c>
      <c r="I379" s="89">
        <v>1</v>
      </c>
      <c r="J379" s="89">
        <v>24</v>
      </c>
      <c r="K379" s="89">
        <v>6</v>
      </c>
      <c r="L379" s="89">
        <v>6.2</v>
      </c>
      <c r="M379" s="89">
        <v>0.028411</v>
      </c>
      <c r="N379" s="89">
        <v>30</v>
      </c>
      <c r="O379" s="89">
        <v>420</v>
      </c>
      <c r="P379" s="89">
        <v>30</v>
      </c>
      <c r="Q379" s="89">
        <v>0.85</v>
      </c>
      <c r="R379" s="89" t="s">
        <v>90</v>
      </c>
      <c r="S379" s="89" t="s">
        <v>90</v>
      </c>
      <c r="T379" s="89" t="s">
        <v>90</v>
      </c>
      <c r="U379" s="90" t="s">
        <v>90</v>
      </c>
    </row>
    <row r="380" spans="1:21">
      <c r="A380" s="88">
        <v>379</v>
      </c>
      <c r="B380" s="89">
        <v>33</v>
      </c>
      <c r="C380" s="89">
        <v>3</v>
      </c>
      <c r="D380" s="89" t="s">
        <v>53</v>
      </c>
      <c r="E380" s="89">
        <v>1</v>
      </c>
      <c r="F380" s="89">
        <v>0</v>
      </c>
      <c r="G380" s="89">
        <v>1320</v>
      </c>
      <c r="H380" s="89">
        <v>30</v>
      </c>
      <c r="I380" s="89">
        <v>7</v>
      </c>
      <c r="J380" s="89">
        <v>2</v>
      </c>
      <c r="K380" s="89">
        <v>1</v>
      </c>
      <c r="L380" s="89">
        <v>9.8</v>
      </c>
      <c r="M380" s="89">
        <v>0.051012</v>
      </c>
      <c r="N380" s="89">
        <v>80</v>
      </c>
      <c r="O380" s="89">
        <v>200</v>
      </c>
      <c r="P380" s="89">
        <v>30</v>
      </c>
      <c r="Q380" s="89">
        <v>0.31</v>
      </c>
      <c r="R380" s="89" t="s">
        <v>90</v>
      </c>
      <c r="S380" s="89" t="s">
        <v>90</v>
      </c>
      <c r="T380" s="89" t="s">
        <v>90</v>
      </c>
      <c r="U380" s="90" t="s">
        <v>90</v>
      </c>
    </row>
    <row r="381" spans="1:21">
      <c r="A381" s="88">
        <v>380</v>
      </c>
      <c r="B381" s="89">
        <v>33</v>
      </c>
      <c r="C381" s="89">
        <v>11</v>
      </c>
      <c r="D381" s="89" t="s">
        <v>53</v>
      </c>
      <c r="E381" s="89">
        <v>1</v>
      </c>
      <c r="F381" s="89">
        <v>0</v>
      </c>
      <c r="G381" s="89">
        <v>19022.1698113207</v>
      </c>
      <c r="H381" s="89">
        <v>0</v>
      </c>
      <c r="I381" s="89">
        <v>100</v>
      </c>
      <c r="J381" s="89">
        <v>0</v>
      </c>
      <c r="K381" s="89">
        <v>0</v>
      </c>
      <c r="L381" s="89">
        <v>6.65</v>
      </c>
      <c r="M381" s="89">
        <v>0</v>
      </c>
      <c r="N381" s="89">
        <v>0</v>
      </c>
      <c r="O381" s="89">
        <v>420</v>
      </c>
      <c r="P381" s="89">
        <v>25</v>
      </c>
      <c r="Q381" s="89">
        <v>0</v>
      </c>
      <c r="R381" s="89" t="s">
        <v>90</v>
      </c>
      <c r="S381" s="89" t="s">
        <v>90</v>
      </c>
      <c r="T381" s="89" t="s">
        <v>90</v>
      </c>
      <c r="U381" s="90" t="s">
        <v>90</v>
      </c>
    </row>
    <row r="382" spans="1:21">
      <c r="A382" s="88">
        <v>381</v>
      </c>
      <c r="B382" s="89">
        <v>33</v>
      </c>
      <c r="C382" s="89">
        <v>12</v>
      </c>
      <c r="D382" s="89" t="s">
        <v>53</v>
      </c>
      <c r="E382" s="89">
        <v>1</v>
      </c>
      <c r="F382" s="89">
        <v>0</v>
      </c>
      <c r="G382" s="89">
        <v>129060.498324404</v>
      </c>
      <c r="H382" s="89">
        <v>0</v>
      </c>
      <c r="I382" s="89">
        <v>100</v>
      </c>
      <c r="J382" s="89">
        <v>0</v>
      </c>
      <c r="K382" s="89">
        <v>0</v>
      </c>
      <c r="L382" s="89">
        <v>6.3</v>
      </c>
      <c r="M382" s="89">
        <v>0</v>
      </c>
      <c r="N382" s="89">
        <v>0</v>
      </c>
      <c r="O382" s="89">
        <v>420</v>
      </c>
      <c r="P382" s="89">
        <v>25</v>
      </c>
      <c r="Q382" s="89">
        <v>0</v>
      </c>
      <c r="R382" s="89" t="s">
        <v>90</v>
      </c>
      <c r="S382" s="89" t="s">
        <v>90</v>
      </c>
      <c r="T382" s="89" t="s">
        <v>90</v>
      </c>
      <c r="U382" s="90" t="s">
        <v>90</v>
      </c>
    </row>
    <row r="383" spans="1:21">
      <c r="A383" s="88">
        <v>382</v>
      </c>
      <c r="B383" s="89">
        <v>33</v>
      </c>
      <c r="C383" s="89">
        <v>14</v>
      </c>
      <c r="D383" s="89" t="s">
        <v>53</v>
      </c>
      <c r="E383" s="89">
        <v>1</v>
      </c>
      <c r="F383" s="89">
        <v>0</v>
      </c>
      <c r="G383" s="89">
        <v>68142.0626412267</v>
      </c>
      <c r="H383" s="89">
        <v>0</v>
      </c>
      <c r="I383" s="89">
        <v>100</v>
      </c>
      <c r="J383" s="89">
        <v>0</v>
      </c>
      <c r="K383" s="89">
        <v>0</v>
      </c>
      <c r="L383" s="89">
        <v>14.6</v>
      </c>
      <c r="M383" s="89">
        <v>0</v>
      </c>
      <c r="N383" s="89">
        <v>0</v>
      </c>
      <c r="O383" s="89">
        <v>520</v>
      </c>
      <c r="P383" s="89">
        <v>25</v>
      </c>
      <c r="Q383" s="89">
        <v>0</v>
      </c>
      <c r="R383" s="89" t="s">
        <v>90</v>
      </c>
      <c r="S383" s="89" t="s">
        <v>90</v>
      </c>
      <c r="T383" s="89" t="s">
        <v>90</v>
      </c>
      <c r="U383" s="90" t="s">
        <v>90</v>
      </c>
    </row>
    <row r="384" spans="1:21">
      <c r="A384" s="88">
        <v>383</v>
      </c>
      <c r="B384" s="89">
        <v>34</v>
      </c>
      <c r="C384" s="89">
        <v>1</v>
      </c>
      <c r="D384" s="89" t="s">
        <v>53</v>
      </c>
      <c r="E384" s="89">
        <v>1</v>
      </c>
      <c r="F384" s="89">
        <v>0</v>
      </c>
      <c r="G384" s="89">
        <v>-1</v>
      </c>
      <c r="H384" s="89">
        <v>35</v>
      </c>
      <c r="I384" s="89">
        <v>3</v>
      </c>
      <c r="J384" s="89">
        <v>48</v>
      </c>
      <c r="K384" s="89">
        <v>12</v>
      </c>
      <c r="L384" s="89">
        <v>6.2</v>
      </c>
      <c r="M384" s="89">
        <v>0.0253626094420601</v>
      </c>
      <c r="N384" s="89">
        <v>100</v>
      </c>
      <c r="O384" s="89">
        <v>350</v>
      </c>
      <c r="P384" s="89">
        <v>30</v>
      </c>
      <c r="Q384" s="89">
        <v>0.76</v>
      </c>
      <c r="R384" s="89" t="s">
        <v>90</v>
      </c>
      <c r="S384" s="89" t="s">
        <v>90</v>
      </c>
      <c r="T384" s="89" t="s">
        <v>90</v>
      </c>
      <c r="U384" s="90" t="s">
        <v>90</v>
      </c>
    </row>
    <row r="385" spans="1:21">
      <c r="A385" s="88">
        <v>384</v>
      </c>
      <c r="B385" s="89">
        <v>34</v>
      </c>
      <c r="C385" s="89">
        <v>2</v>
      </c>
      <c r="D385" s="89" t="s">
        <v>53</v>
      </c>
      <c r="E385" s="89">
        <v>1</v>
      </c>
      <c r="F385" s="89">
        <v>0</v>
      </c>
      <c r="G385" s="89">
        <v>-1</v>
      </c>
      <c r="H385" s="89">
        <v>50</v>
      </c>
      <c r="I385" s="89">
        <v>1</v>
      </c>
      <c r="J385" s="89">
        <v>24</v>
      </c>
      <c r="K385" s="89">
        <v>6</v>
      </c>
      <c r="L385" s="89">
        <v>6.2</v>
      </c>
      <c r="M385" s="89">
        <v>0.028411</v>
      </c>
      <c r="N385" s="89">
        <v>30</v>
      </c>
      <c r="O385" s="89">
        <v>420</v>
      </c>
      <c r="P385" s="89">
        <v>30</v>
      </c>
      <c r="Q385" s="89">
        <v>0.85</v>
      </c>
      <c r="R385" s="89" t="s">
        <v>90</v>
      </c>
      <c r="S385" s="89" t="s">
        <v>90</v>
      </c>
      <c r="T385" s="89" t="s">
        <v>90</v>
      </c>
      <c r="U385" s="90" t="s">
        <v>90</v>
      </c>
    </row>
    <row r="386" spans="1:21">
      <c r="A386" s="88">
        <v>385</v>
      </c>
      <c r="B386" s="89">
        <v>34</v>
      </c>
      <c r="C386" s="89">
        <v>3</v>
      </c>
      <c r="D386" s="89" t="s">
        <v>53</v>
      </c>
      <c r="E386" s="89">
        <v>1</v>
      </c>
      <c r="F386" s="89">
        <v>0</v>
      </c>
      <c r="G386" s="89">
        <v>330</v>
      </c>
      <c r="H386" s="89">
        <v>30</v>
      </c>
      <c r="I386" s="89">
        <v>7</v>
      </c>
      <c r="J386" s="89">
        <v>2</v>
      </c>
      <c r="K386" s="89">
        <v>1</v>
      </c>
      <c r="L386" s="89">
        <v>9.8</v>
      </c>
      <c r="M386" s="89">
        <v>0.051012</v>
      </c>
      <c r="N386" s="89">
        <v>80</v>
      </c>
      <c r="O386" s="89">
        <v>200</v>
      </c>
      <c r="P386" s="89">
        <v>30</v>
      </c>
      <c r="Q386" s="89">
        <v>0.31</v>
      </c>
      <c r="R386" s="89" t="s">
        <v>90</v>
      </c>
      <c r="S386" s="89" t="s">
        <v>90</v>
      </c>
      <c r="T386" s="89" t="s">
        <v>90</v>
      </c>
      <c r="U386" s="90" t="s">
        <v>90</v>
      </c>
    </row>
    <row r="387" spans="1:21">
      <c r="A387" s="88">
        <v>386</v>
      </c>
      <c r="B387" s="89">
        <v>34</v>
      </c>
      <c r="C387" s="89">
        <v>11</v>
      </c>
      <c r="D387" s="89" t="s">
        <v>53</v>
      </c>
      <c r="E387" s="89">
        <v>1</v>
      </c>
      <c r="F387" s="89">
        <v>0</v>
      </c>
      <c r="G387" s="89">
        <v>56486.786163522</v>
      </c>
      <c r="H387" s="89">
        <v>0</v>
      </c>
      <c r="I387" s="89">
        <v>100</v>
      </c>
      <c r="J387" s="89">
        <v>0</v>
      </c>
      <c r="K387" s="89">
        <v>0</v>
      </c>
      <c r="L387" s="89">
        <v>6.65</v>
      </c>
      <c r="M387" s="89">
        <v>0</v>
      </c>
      <c r="N387" s="89">
        <v>0</v>
      </c>
      <c r="O387" s="89">
        <v>420</v>
      </c>
      <c r="P387" s="89">
        <v>25</v>
      </c>
      <c r="Q387" s="89">
        <v>0</v>
      </c>
      <c r="R387" s="89" t="s">
        <v>90</v>
      </c>
      <c r="S387" s="89" t="s">
        <v>90</v>
      </c>
      <c r="T387" s="89" t="s">
        <v>90</v>
      </c>
      <c r="U387" s="90" t="s">
        <v>90</v>
      </c>
    </row>
    <row r="388" spans="1:21">
      <c r="A388" s="88">
        <v>387</v>
      </c>
      <c r="B388" s="89">
        <v>34</v>
      </c>
      <c r="C388" s="89">
        <v>12</v>
      </c>
      <c r="D388" s="89" t="s">
        <v>53</v>
      </c>
      <c r="E388" s="89">
        <v>1</v>
      </c>
      <c r="F388" s="89">
        <v>0</v>
      </c>
      <c r="G388" s="89">
        <v>23066.0685177736</v>
      </c>
      <c r="H388" s="89">
        <v>0</v>
      </c>
      <c r="I388" s="89">
        <v>100</v>
      </c>
      <c r="J388" s="89">
        <v>0</v>
      </c>
      <c r="K388" s="89">
        <v>0</v>
      </c>
      <c r="L388" s="89">
        <v>6.3</v>
      </c>
      <c r="M388" s="89">
        <v>0</v>
      </c>
      <c r="N388" s="89">
        <v>0</v>
      </c>
      <c r="O388" s="89">
        <v>420</v>
      </c>
      <c r="P388" s="89">
        <v>25</v>
      </c>
      <c r="Q388" s="89">
        <v>0</v>
      </c>
      <c r="R388" s="89" t="s">
        <v>90</v>
      </c>
      <c r="S388" s="89" t="s">
        <v>90</v>
      </c>
      <c r="T388" s="89" t="s">
        <v>90</v>
      </c>
      <c r="U388" s="90" t="s">
        <v>90</v>
      </c>
    </row>
    <row r="389" spans="1:21">
      <c r="A389" s="88">
        <v>388</v>
      </c>
      <c r="B389" s="89">
        <v>35</v>
      </c>
      <c r="C389" s="89">
        <v>1</v>
      </c>
      <c r="D389" s="89" t="s">
        <v>53</v>
      </c>
      <c r="E389" s="89">
        <v>1</v>
      </c>
      <c r="F389" s="89">
        <v>0</v>
      </c>
      <c r="G389" s="89">
        <v>-1</v>
      </c>
      <c r="H389" s="89">
        <v>35</v>
      </c>
      <c r="I389" s="89">
        <v>3</v>
      </c>
      <c r="J389" s="89">
        <v>48</v>
      </c>
      <c r="K389" s="89">
        <v>12</v>
      </c>
      <c r="L389" s="89">
        <v>6.2</v>
      </c>
      <c r="M389" s="89">
        <v>0.0253626094420601</v>
      </c>
      <c r="N389" s="89">
        <v>100</v>
      </c>
      <c r="O389" s="89">
        <v>350</v>
      </c>
      <c r="P389" s="89">
        <v>30</v>
      </c>
      <c r="Q389" s="89">
        <v>0.76</v>
      </c>
      <c r="R389" s="89" t="s">
        <v>90</v>
      </c>
      <c r="S389" s="89" t="s">
        <v>90</v>
      </c>
      <c r="T389" s="89" t="s">
        <v>90</v>
      </c>
      <c r="U389" s="90" t="s">
        <v>90</v>
      </c>
    </row>
    <row r="390" spans="1:21">
      <c r="A390" s="88">
        <v>389</v>
      </c>
      <c r="B390" s="89">
        <v>35</v>
      </c>
      <c r="C390" s="89">
        <v>2</v>
      </c>
      <c r="D390" s="89" t="s">
        <v>53</v>
      </c>
      <c r="E390" s="89">
        <v>1</v>
      </c>
      <c r="F390" s="89">
        <v>0</v>
      </c>
      <c r="G390" s="89">
        <v>-1</v>
      </c>
      <c r="H390" s="89">
        <v>50</v>
      </c>
      <c r="I390" s="89">
        <v>1</v>
      </c>
      <c r="J390" s="89">
        <v>24</v>
      </c>
      <c r="K390" s="89">
        <v>6</v>
      </c>
      <c r="L390" s="89">
        <v>6.2</v>
      </c>
      <c r="M390" s="89">
        <v>0.028411</v>
      </c>
      <c r="N390" s="89">
        <v>30</v>
      </c>
      <c r="O390" s="89">
        <v>420</v>
      </c>
      <c r="P390" s="89">
        <v>30</v>
      </c>
      <c r="Q390" s="89">
        <v>0.85</v>
      </c>
      <c r="R390" s="89" t="s">
        <v>90</v>
      </c>
      <c r="S390" s="89" t="s">
        <v>90</v>
      </c>
      <c r="T390" s="89" t="s">
        <v>90</v>
      </c>
      <c r="U390" s="90" t="s">
        <v>90</v>
      </c>
    </row>
    <row r="391" spans="1:21">
      <c r="A391" s="88">
        <v>390</v>
      </c>
      <c r="B391" s="89">
        <v>35</v>
      </c>
      <c r="C391" s="89">
        <v>3</v>
      </c>
      <c r="D391" s="89" t="s">
        <v>53</v>
      </c>
      <c r="E391" s="89">
        <v>1</v>
      </c>
      <c r="F391" s="89">
        <v>0</v>
      </c>
      <c r="G391" s="89">
        <v>330</v>
      </c>
      <c r="H391" s="89">
        <v>30</v>
      </c>
      <c r="I391" s="89">
        <v>7</v>
      </c>
      <c r="J391" s="89">
        <v>2</v>
      </c>
      <c r="K391" s="89">
        <v>1</v>
      </c>
      <c r="L391" s="89">
        <v>9.8</v>
      </c>
      <c r="M391" s="89">
        <v>0.051012</v>
      </c>
      <c r="N391" s="89">
        <v>80</v>
      </c>
      <c r="O391" s="89">
        <v>200</v>
      </c>
      <c r="P391" s="89">
        <v>30</v>
      </c>
      <c r="Q391" s="89">
        <v>0.31</v>
      </c>
      <c r="R391" s="89" t="s">
        <v>90</v>
      </c>
      <c r="S391" s="89" t="s">
        <v>90</v>
      </c>
      <c r="T391" s="89" t="s">
        <v>90</v>
      </c>
      <c r="U391" s="90" t="s">
        <v>90</v>
      </c>
    </row>
    <row r="392" spans="1:21">
      <c r="A392" s="88">
        <v>391</v>
      </c>
      <c r="B392" s="89">
        <v>35</v>
      </c>
      <c r="C392" s="89">
        <v>11</v>
      </c>
      <c r="D392" s="89" t="s">
        <v>53</v>
      </c>
      <c r="E392" s="89">
        <v>1</v>
      </c>
      <c r="F392" s="89">
        <v>0</v>
      </c>
      <c r="G392" s="89">
        <v>14130.7547169811</v>
      </c>
      <c r="H392" s="89">
        <v>0</v>
      </c>
      <c r="I392" s="89">
        <v>100</v>
      </c>
      <c r="J392" s="89">
        <v>0</v>
      </c>
      <c r="K392" s="89">
        <v>0</v>
      </c>
      <c r="L392" s="89">
        <v>6.65</v>
      </c>
      <c r="M392" s="89">
        <v>0</v>
      </c>
      <c r="N392" s="89">
        <v>0</v>
      </c>
      <c r="O392" s="89">
        <v>420</v>
      </c>
      <c r="P392" s="89">
        <v>25</v>
      </c>
      <c r="Q392" s="89">
        <v>0</v>
      </c>
      <c r="R392" s="89" t="s">
        <v>90</v>
      </c>
      <c r="S392" s="89" t="s">
        <v>90</v>
      </c>
      <c r="T392" s="89" t="s">
        <v>90</v>
      </c>
      <c r="U392" s="90" t="s">
        <v>90</v>
      </c>
    </row>
    <row r="393" spans="1:21">
      <c r="A393" s="88">
        <v>392</v>
      </c>
      <c r="B393" s="89">
        <v>35</v>
      </c>
      <c r="C393" s="89">
        <v>12</v>
      </c>
      <c r="D393" s="89" t="s">
        <v>53</v>
      </c>
      <c r="E393" s="89">
        <v>1</v>
      </c>
      <c r="F393" s="89">
        <v>0</v>
      </c>
      <c r="G393" s="89">
        <v>64523.7260300357</v>
      </c>
      <c r="H393" s="89">
        <v>0</v>
      </c>
      <c r="I393" s="89">
        <v>100</v>
      </c>
      <c r="J393" s="89">
        <v>0</v>
      </c>
      <c r="K393" s="89">
        <v>0</v>
      </c>
      <c r="L393" s="89">
        <v>6.3</v>
      </c>
      <c r="M393" s="89">
        <v>0</v>
      </c>
      <c r="N393" s="89">
        <v>0</v>
      </c>
      <c r="O393" s="89">
        <v>420</v>
      </c>
      <c r="P393" s="89">
        <v>25</v>
      </c>
      <c r="Q393" s="89">
        <v>0</v>
      </c>
      <c r="R393" s="89" t="s">
        <v>90</v>
      </c>
      <c r="S393" s="89" t="s">
        <v>90</v>
      </c>
      <c r="T393" s="89" t="s">
        <v>90</v>
      </c>
      <c r="U393" s="90" t="s">
        <v>90</v>
      </c>
    </row>
    <row r="394" spans="1:21">
      <c r="A394" s="88">
        <v>393</v>
      </c>
      <c r="B394" s="89">
        <v>36</v>
      </c>
      <c r="C394" s="89">
        <v>1</v>
      </c>
      <c r="D394" s="89" t="s">
        <v>53</v>
      </c>
      <c r="E394" s="89">
        <v>1</v>
      </c>
      <c r="F394" s="89">
        <v>0</v>
      </c>
      <c r="G394" s="89">
        <v>-1</v>
      </c>
      <c r="H394" s="89">
        <v>35</v>
      </c>
      <c r="I394" s="89">
        <v>3</v>
      </c>
      <c r="J394" s="89">
        <v>48</v>
      </c>
      <c r="K394" s="89">
        <v>12</v>
      </c>
      <c r="L394" s="89">
        <v>6.2</v>
      </c>
      <c r="M394" s="89">
        <v>0.0253626094420601</v>
      </c>
      <c r="N394" s="89">
        <v>100</v>
      </c>
      <c r="O394" s="89">
        <v>350</v>
      </c>
      <c r="P394" s="89">
        <v>30</v>
      </c>
      <c r="Q394" s="89">
        <v>0.76</v>
      </c>
      <c r="R394" s="89" t="s">
        <v>90</v>
      </c>
      <c r="S394" s="89" t="s">
        <v>90</v>
      </c>
      <c r="T394" s="89" t="s">
        <v>90</v>
      </c>
      <c r="U394" s="90" t="s">
        <v>90</v>
      </c>
    </row>
    <row r="395" spans="1:21">
      <c r="A395" s="88">
        <v>394</v>
      </c>
      <c r="B395" s="89">
        <v>36</v>
      </c>
      <c r="C395" s="89">
        <v>2</v>
      </c>
      <c r="D395" s="89" t="s">
        <v>53</v>
      </c>
      <c r="E395" s="89">
        <v>1</v>
      </c>
      <c r="F395" s="89">
        <v>0</v>
      </c>
      <c r="G395" s="89">
        <v>-1</v>
      </c>
      <c r="H395" s="89">
        <v>50</v>
      </c>
      <c r="I395" s="89">
        <v>1</v>
      </c>
      <c r="J395" s="89">
        <v>24</v>
      </c>
      <c r="K395" s="89">
        <v>6</v>
      </c>
      <c r="L395" s="89">
        <v>6.2</v>
      </c>
      <c r="M395" s="89">
        <v>0.028411</v>
      </c>
      <c r="N395" s="89">
        <v>30</v>
      </c>
      <c r="O395" s="89">
        <v>420</v>
      </c>
      <c r="P395" s="89">
        <v>30</v>
      </c>
      <c r="Q395" s="89">
        <v>0.85</v>
      </c>
      <c r="R395" s="89" t="s">
        <v>90</v>
      </c>
      <c r="S395" s="89" t="s">
        <v>90</v>
      </c>
      <c r="T395" s="89" t="s">
        <v>90</v>
      </c>
      <c r="U395" s="90" t="s">
        <v>90</v>
      </c>
    </row>
    <row r="396" spans="1:21">
      <c r="A396" s="88">
        <v>395</v>
      </c>
      <c r="B396" s="89">
        <v>36</v>
      </c>
      <c r="C396" s="89">
        <v>3</v>
      </c>
      <c r="D396" s="89" t="s">
        <v>53</v>
      </c>
      <c r="E396" s="89">
        <v>1</v>
      </c>
      <c r="F396" s="89">
        <v>0</v>
      </c>
      <c r="G396" s="89">
        <v>330</v>
      </c>
      <c r="H396" s="89">
        <v>30</v>
      </c>
      <c r="I396" s="89">
        <v>7</v>
      </c>
      <c r="J396" s="89">
        <v>2</v>
      </c>
      <c r="K396" s="89">
        <v>1</v>
      </c>
      <c r="L396" s="89">
        <v>9.8</v>
      </c>
      <c r="M396" s="89">
        <v>0.051012</v>
      </c>
      <c r="N396" s="89">
        <v>80</v>
      </c>
      <c r="O396" s="89">
        <v>200</v>
      </c>
      <c r="P396" s="89">
        <v>30</v>
      </c>
      <c r="Q396" s="89">
        <v>0.31</v>
      </c>
      <c r="R396" s="89" t="s">
        <v>90</v>
      </c>
      <c r="S396" s="89" t="s">
        <v>90</v>
      </c>
      <c r="T396" s="89" t="s">
        <v>90</v>
      </c>
      <c r="U396" s="90" t="s">
        <v>90</v>
      </c>
    </row>
    <row r="397" spans="1:21">
      <c r="A397" s="88">
        <v>396</v>
      </c>
      <c r="B397" s="89">
        <v>36</v>
      </c>
      <c r="C397" s="89">
        <v>4</v>
      </c>
      <c r="D397" s="89" t="s">
        <v>53</v>
      </c>
      <c r="E397" s="89">
        <v>1</v>
      </c>
      <c r="F397" s="89">
        <v>0</v>
      </c>
      <c r="G397" s="89">
        <v>482.5</v>
      </c>
      <c r="H397" s="89">
        <v>0</v>
      </c>
      <c r="I397" s="89">
        <v>100</v>
      </c>
      <c r="J397" s="89">
        <v>0</v>
      </c>
      <c r="K397" s="89">
        <v>0</v>
      </c>
      <c r="L397" s="89">
        <v>25.93</v>
      </c>
      <c r="M397" s="89">
        <v>0</v>
      </c>
      <c r="N397" s="89">
        <v>0</v>
      </c>
      <c r="O397" s="89">
        <v>1400</v>
      </c>
      <c r="P397" s="89">
        <v>80</v>
      </c>
      <c r="Q397" s="89">
        <v>0</v>
      </c>
      <c r="R397" s="89" t="s">
        <v>90</v>
      </c>
      <c r="S397" s="89" t="s">
        <v>90</v>
      </c>
      <c r="T397" s="89" t="s">
        <v>90</v>
      </c>
      <c r="U397" s="90" t="s">
        <v>90</v>
      </c>
    </row>
    <row r="398" spans="1:21">
      <c r="A398" s="88">
        <v>397</v>
      </c>
      <c r="B398" s="89">
        <v>36</v>
      </c>
      <c r="C398" s="89">
        <v>11</v>
      </c>
      <c r="D398" s="89" t="s">
        <v>53</v>
      </c>
      <c r="E398" s="89">
        <v>1</v>
      </c>
      <c r="F398" s="89">
        <v>0</v>
      </c>
      <c r="G398" s="89">
        <v>2681.22012578616</v>
      </c>
      <c r="H398" s="89">
        <v>0</v>
      </c>
      <c r="I398" s="89">
        <v>100</v>
      </c>
      <c r="J398" s="89">
        <v>0</v>
      </c>
      <c r="K398" s="89">
        <v>0</v>
      </c>
      <c r="L398" s="89">
        <v>6.65</v>
      </c>
      <c r="M398" s="89">
        <v>0</v>
      </c>
      <c r="N398" s="89">
        <v>0</v>
      </c>
      <c r="O398" s="89">
        <v>420</v>
      </c>
      <c r="P398" s="89">
        <v>25</v>
      </c>
      <c r="Q398" s="89">
        <v>0</v>
      </c>
      <c r="R398" s="89" t="s">
        <v>90</v>
      </c>
      <c r="S398" s="89" t="s">
        <v>90</v>
      </c>
      <c r="T398" s="89" t="s">
        <v>90</v>
      </c>
      <c r="U398" s="90" t="s">
        <v>90</v>
      </c>
    </row>
    <row r="399" spans="1:21">
      <c r="A399" s="88">
        <v>398</v>
      </c>
      <c r="B399" s="89">
        <v>36</v>
      </c>
      <c r="C399" s="89">
        <v>12</v>
      </c>
      <c r="D399" s="89" t="s">
        <v>53</v>
      </c>
      <c r="E399" s="89">
        <v>1</v>
      </c>
      <c r="F399" s="89">
        <v>0</v>
      </c>
      <c r="G399" s="89">
        <v>6125.87492376515</v>
      </c>
      <c r="H399" s="89">
        <v>0</v>
      </c>
      <c r="I399" s="89">
        <v>100</v>
      </c>
      <c r="J399" s="89">
        <v>0</v>
      </c>
      <c r="K399" s="89">
        <v>0</v>
      </c>
      <c r="L399" s="89">
        <v>6.3</v>
      </c>
      <c r="M399" s="89">
        <v>0</v>
      </c>
      <c r="N399" s="89">
        <v>0</v>
      </c>
      <c r="O399" s="89">
        <v>420</v>
      </c>
      <c r="P399" s="89">
        <v>25</v>
      </c>
      <c r="Q399" s="89">
        <v>0</v>
      </c>
      <c r="R399" s="89" t="s">
        <v>90</v>
      </c>
      <c r="S399" s="89" t="s">
        <v>90</v>
      </c>
      <c r="T399" s="89" t="s">
        <v>90</v>
      </c>
      <c r="U399" s="90" t="s">
        <v>90</v>
      </c>
    </row>
    <row r="400" spans="1:21">
      <c r="A400" s="88">
        <v>399</v>
      </c>
      <c r="B400" s="89">
        <v>37</v>
      </c>
      <c r="C400" s="89">
        <v>1</v>
      </c>
      <c r="D400" s="89" t="s">
        <v>62</v>
      </c>
      <c r="E400" s="89">
        <v>1</v>
      </c>
      <c r="F400" s="89">
        <v>0</v>
      </c>
      <c r="G400" s="89">
        <v>-1</v>
      </c>
      <c r="H400" s="89">
        <v>35</v>
      </c>
      <c r="I400" s="89">
        <v>3</v>
      </c>
      <c r="J400" s="89">
        <v>48</v>
      </c>
      <c r="K400" s="89">
        <v>12</v>
      </c>
      <c r="L400" s="89">
        <v>6.2</v>
      </c>
      <c r="M400" s="89">
        <v>0.0257402231759657</v>
      </c>
      <c r="N400" s="89">
        <v>100</v>
      </c>
      <c r="O400" s="89">
        <v>350</v>
      </c>
      <c r="P400" s="89">
        <v>30</v>
      </c>
      <c r="Q400" s="89">
        <v>0.76</v>
      </c>
      <c r="R400" s="89" t="s">
        <v>90</v>
      </c>
      <c r="S400" s="89" t="s">
        <v>90</v>
      </c>
      <c r="T400" s="89" t="s">
        <v>90</v>
      </c>
      <c r="U400" s="90" t="s">
        <v>90</v>
      </c>
    </row>
    <row r="401" spans="1:21">
      <c r="A401" s="88">
        <v>400</v>
      </c>
      <c r="B401" s="89">
        <v>37</v>
      </c>
      <c r="C401" s="89">
        <v>2</v>
      </c>
      <c r="D401" s="89" t="s">
        <v>62</v>
      </c>
      <c r="E401" s="89">
        <v>1</v>
      </c>
      <c r="F401" s="89">
        <v>0</v>
      </c>
      <c r="G401" s="89">
        <v>-1</v>
      </c>
      <c r="H401" s="89">
        <v>50</v>
      </c>
      <c r="I401" s="89">
        <v>1</v>
      </c>
      <c r="J401" s="89">
        <v>24</v>
      </c>
      <c r="K401" s="89">
        <v>6</v>
      </c>
      <c r="L401" s="89">
        <v>6.2</v>
      </c>
      <c r="M401" s="89">
        <v>0.028834</v>
      </c>
      <c r="N401" s="89">
        <v>30</v>
      </c>
      <c r="O401" s="89">
        <v>420</v>
      </c>
      <c r="P401" s="89">
        <v>30</v>
      </c>
      <c r="Q401" s="89">
        <v>0.85</v>
      </c>
      <c r="R401" s="89" t="s">
        <v>90</v>
      </c>
      <c r="S401" s="89" t="s">
        <v>90</v>
      </c>
      <c r="T401" s="89" t="s">
        <v>90</v>
      </c>
      <c r="U401" s="90" t="s">
        <v>90</v>
      </c>
    </row>
    <row r="402" spans="1:21">
      <c r="A402" s="88">
        <v>401</v>
      </c>
      <c r="B402" s="89">
        <v>37</v>
      </c>
      <c r="C402" s="89">
        <v>3</v>
      </c>
      <c r="D402" s="89" t="s">
        <v>62</v>
      </c>
      <c r="E402" s="89">
        <v>1</v>
      </c>
      <c r="F402" s="89">
        <v>0</v>
      </c>
      <c r="G402" s="89">
        <v>800</v>
      </c>
      <c r="H402" s="89">
        <v>30</v>
      </c>
      <c r="I402" s="89">
        <v>7</v>
      </c>
      <c r="J402" s="89">
        <v>2</v>
      </c>
      <c r="K402" s="89">
        <v>1</v>
      </c>
      <c r="L402" s="89">
        <v>9.8</v>
      </c>
      <c r="M402" s="89">
        <v>0.053302</v>
      </c>
      <c r="N402" s="89">
        <v>80</v>
      </c>
      <c r="O402" s="89">
        <v>200</v>
      </c>
      <c r="P402" s="89">
        <v>30</v>
      </c>
      <c r="Q402" s="89">
        <v>0.31</v>
      </c>
      <c r="R402" s="89" t="s">
        <v>90</v>
      </c>
      <c r="S402" s="89" t="s">
        <v>90</v>
      </c>
      <c r="T402" s="89" t="s">
        <v>90</v>
      </c>
      <c r="U402" s="90" t="s">
        <v>90</v>
      </c>
    </row>
    <row r="403" spans="1:21">
      <c r="A403" s="88">
        <v>402</v>
      </c>
      <c r="B403" s="89">
        <v>37</v>
      </c>
      <c r="C403" s="89">
        <v>4</v>
      </c>
      <c r="D403" s="89" t="s">
        <v>62</v>
      </c>
      <c r="E403" s="89">
        <v>1</v>
      </c>
      <c r="F403" s="89">
        <v>0</v>
      </c>
      <c r="G403" s="89">
        <v>699</v>
      </c>
      <c r="H403" s="89">
        <v>0</v>
      </c>
      <c r="I403" s="89">
        <v>100</v>
      </c>
      <c r="J403" s="89">
        <v>0</v>
      </c>
      <c r="K403" s="89">
        <v>0</v>
      </c>
      <c r="L403" s="89">
        <v>25.93</v>
      </c>
      <c r="M403" s="89">
        <v>0</v>
      </c>
      <c r="N403" s="89">
        <v>0</v>
      </c>
      <c r="O403" s="89">
        <v>1400</v>
      </c>
      <c r="P403" s="89">
        <v>80</v>
      </c>
      <c r="Q403" s="89">
        <v>0</v>
      </c>
      <c r="R403" s="89" t="s">
        <v>90</v>
      </c>
      <c r="S403" s="89" t="s">
        <v>90</v>
      </c>
      <c r="T403" s="89" t="s">
        <v>90</v>
      </c>
      <c r="U403" s="90" t="s">
        <v>90</v>
      </c>
    </row>
    <row r="404" spans="1:21">
      <c r="A404" s="88">
        <v>403</v>
      </c>
      <c r="B404" s="89">
        <v>37</v>
      </c>
      <c r="C404" s="89">
        <v>5</v>
      </c>
      <c r="D404" s="89" t="s">
        <v>62</v>
      </c>
      <c r="E404" s="89">
        <v>1</v>
      </c>
      <c r="F404" s="89">
        <v>0</v>
      </c>
      <c r="G404" s="89">
        <v>3000</v>
      </c>
      <c r="H404" s="89">
        <v>70</v>
      </c>
      <c r="I404" s="89">
        <v>0</v>
      </c>
      <c r="J404" s="89">
        <v>48</v>
      </c>
      <c r="K404" s="89">
        <v>12</v>
      </c>
      <c r="L404" s="89">
        <v>55.64</v>
      </c>
      <c r="M404" s="89">
        <v>0.004784</v>
      </c>
      <c r="N404" s="89">
        <v>120</v>
      </c>
      <c r="O404" s="89">
        <v>1750</v>
      </c>
      <c r="P404" s="89">
        <v>60</v>
      </c>
      <c r="Q404" s="89">
        <v>0</v>
      </c>
      <c r="R404" s="89" t="s">
        <v>90</v>
      </c>
      <c r="S404" s="89" t="s">
        <v>90</v>
      </c>
      <c r="T404" s="89" t="s">
        <v>90</v>
      </c>
      <c r="U404" s="90" t="s">
        <v>90</v>
      </c>
    </row>
    <row r="405" spans="1:21">
      <c r="A405" s="88">
        <v>404</v>
      </c>
      <c r="B405" s="89">
        <v>37</v>
      </c>
      <c r="C405" s="89">
        <v>12</v>
      </c>
      <c r="D405" s="89" t="s">
        <v>62</v>
      </c>
      <c r="E405" s="89">
        <v>1</v>
      </c>
      <c r="F405" s="89">
        <v>0</v>
      </c>
      <c r="G405" s="89">
        <v>52175.0276591237</v>
      </c>
      <c r="H405" s="89">
        <v>0</v>
      </c>
      <c r="I405" s="89">
        <v>100</v>
      </c>
      <c r="J405" s="89">
        <v>0</v>
      </c>
      <c r="K405" s="89">
        <v>0</v>
      </c>
      <c r="L405" s="89">
        <v>6.3</v>
      </c>
      <c r="M405" s="89">
        <v>0</v>
      </c>
      <c r="N405" s="89">
        <v>0</v>
      </c>
      <c r="O405" s="89">
        <v>420</v>
      </c>
      <c r="P405" s="89">
        <v>25</v>
      </c>
      <c r="Q405" s="89">
        <v>0</v>
      </c>
      <c r="R405" s="89" t="s">
        <v>90</v>
      </c>
      <c r="S405" s="89" t="s">
        <v>90</v>
      </c>
      <c r="T405" s="89" t="s">
        <v>90</v>
      </c>
      <c r="U405" s="90" t="s">
        <v>90</v>
      </c>
    </row>
    <row r="406" spans="1:21">
      <c r="A406" s="88">
        <v>405</v>
      </c>
      <c r="B406" s="89">
        <v>37</v>
      </c>
      <c r="C406" s="89">
        <v>14</v>
      </c>
      <c r="D406" s="89" t="s">
        <v>62</v>
      </c>
      <c r="E406" s="89">
        <v>1</v>
      </c>
      <c r="F406" s="89">
        <v>0</v>
      </c>
      <c r="G406" s="89">
        <v>840.358033547992</v>
      </c>
      <c r="H406" s="89">
        <v>0</v>
      </c>
      <c r="I406" s="89">
        <v>100</v>
      </c>
      <c r="J406" s="89">
        <v>0</v>
      </c>
      <c r="K406" s="89">
        <v>0</v>
      </c>
      <c r="L406" s="89">
        <v>14.6</v>
      </c>
      <c r="M406" s="89">
        <v>0</v>
      </c>
      <c r="N406" s="89">
        <v>0</v>
      </c>
      <c r="O406" s="89">
        <v>520</v>
      </c>
      <c r="P406" s="89">
        <v>25</v>
      </c>
      <c r="Q406" s="89">
        <v>0</v>
      </c>
      <c r="R406" s="89" t="s">
        <v>90</v>
      </c>
      <c r="S406" s="89" t="s">
        <v>90</v>
      </c>
      <c r="T406" s="89" t="s">
        <v>90</v>
      </c>
      <c r="U406" s="90" t="s">
        <v>90</v>
      </c>
    </row>
    <row r="407" spans="1:21">
      <c r="A407" s="88">
        <v>406</v>
      </c>
      <c r="B407" s="89">
        <v>38</v>
      </c>
      <c r="C407" s="89">
        <v>1</v>
      </c>
      <c r="D407" s="89" t="s">
        <v>62</v>
      </c>
      <c r="E407" s="89">
        <v>1</v>
      </c>
      <c r="F407" s="89">
        <v>0</v>
      </c>
      <c r="G407" s="89">
        <v>-1</v>
      </c>
      <c r="H407" s="89">
        <v>35</v>
      </c>
      <c r="I407" s="89">
        <v>3</v>
      </c>
      <c r="J407" s="89">
        <v>48</v>
      </c>
      <c r="K407" s="89">
        <v>12</v>
      </c>
      <c r="L407" s="89">
        <v>6.2</v>
      </c>
      <c r="M407" s="89">
        <v>0.0257402231759657</v>
      </c>
      <c r="N407" s="89">
        <v>100</v>
      </c>
      <c r="O407" s="89">
        <v>350</v>
      </c>
      <c r="P407" s="89">
        <v>30</v>
      </c>
      <c r="Q407" s="89">
        <v>0.76</v>
      </c>
      <c r="R407" s="89" t="s">
        <v>90</v>
      </c>
      <c r="S407" s="89" t="s">
        <v>90</v>
      </c>
      <c r="T407" s="89" t="s">
        <v>90</v>
      </c>
      <c r="U407" s="90" t="s">
        <v>90</v>
      </c>
    </row>
    <row r="408" spans="1:21">
      <c r="A408" s="88">
        <v>407</v>
      </c>
      <c r="B408" s="89">
        <v>38</v>
      </c>
      <c r="C408" s="89">
        <v>2</v>
      </c>
      <c r="D408" s="89" t="s">
        <v>62</v>
      </c>
      <c r="E408" s="89">
        <v>1</v>
      </c>
      <c r="F408" s="89">
        <v>0</v>
      </c>
      <c r="G408" s="89">
        <v>-1</v>
      </c>
      <c r="H408" s="89">
        <v>50</v>
      </c>
      <c r="I408" s="89">
        <v>1</v>
      </c>
      <c r="J408" s="89">
        <v>24</v>
      </c>
      <c r="K408" s="89">
        <v>6</v>
      </c>
      <c r="L408" s="89">
        <v>6.2</v>
      </c>
      <c r="M408" s="89">
        <v>0.028834</v>
      </c>
      <c r="N408" s="89">
        <v>30</v>
      </c>
      <c r="O408" s="89">
        <v>420</v>
      </c>
      <c r="P408" s="89">
        <v>30</v>
      </c>
      <c r="Q408" s="89">
        <v>0.85</v>
      </c>
      <c r="R408" s="89" t="s">
        <v>90</v>
      </c>
      <c r="S408" s="89" t="s">
        <v>90</v>
      </c>
      <c r="T408" s="89" t="s">
        <v>90</v>
      </c>
      <c r="U408" s="90" t="s">
        <v>90</v>
      </c>
    </row>
    <row r="409" spans="1:21">
      <c r="A409" s="88">
        <v>408</v>
      </c>
      <c r="B409" s="89">
        <v>38</v>
      </c>
      <c r="C409" s="89">
        <v>3</v>
      </c>
      <c r="D409" s="89" t="s">
        <v>62</v>
      </c>
      <c r="E409" s="89">
        <v>1</v>
      </c>
      <c r="F409" s="89">
        <v>0</v>
      </c>
      <c r="G409" s="89">
        <v>800</v>
      </c>
      <c r="H409" s="89">
        <v>30</v>
      </c>
      <c r="I409" s="89">
        <v>7</v>
      </c>
      <c r="J409" s="89">
        <v>2</v>
      </c>
      <c r="K409" s="89">
        <v>1</v>
      </c>
      <c r="L409" s="89">
        <v>9.8</v>
      </c>
      <c r="M409" s="89">
        <v>0.053302</v>
      </c>
      <c r="N409" s="89">
        <v>80</v>
      </c>
      <c r="O409" s="89">
        <v>200</v>
      </c>
      <c r="P409" s="89">
        <v>30</v>
      </c>
      <c r="Q409" s="89">
        <v>0.31</v>
      </c>
      <c r="R409" s="89" t="s">
        <v>90</v>
      </c>
      <c r="S409" s="89" t="s">
        <v>90</v>
      </c>
      <c r="T409" s="89" t="s">
        <v>90</v>
      </c>
      <c r="U409" s="90" t="s">
        <v>90</v>
      </c>
    </row>
    <row r="410" spans="1:21">
      <c r="A410" s="88">
        <v>409</v>
      </c>
      <c r="B410" s="89">
        <v>38</v>
      </c>
      <c r="C410" s="89">
        <v>4</v>
      </c>
      <c r="D410" s="89" t="s">
        <v>62</v>
      </c>
      <c r="E410" s="89">
        <v>1</v>
      </c>
      <c r="F410" s="89">
        <v>0</v>
      </c>
      <c r="G410" s="89">
        <v>7505</v>
      </c>
      <c r="H410" s="89">
        <v>0</v>
      </c>
      <c r="I410" s="89">
        <v>100</v>
      </c>
      <c r="J410" s="89">
        <v>0</v>
      </c>
      <c r="K410" s="89">
        <v>0</v>
      </c>
      <c r="L410" s="89">
        <v>25.93</v>
      </c>
      <c r="M410" s="89">
        <v>0</v>
      </c>
      <c r="N410" s="89">
        <v>0</v>
      </c>
      <c r="O410" s="89">
        <v>1400</v>
      </c>
      <c r="P410" s="89">
        <v>80</v>
      </c>
      <c r="Q410" s="89">
        <v>0</v>
      </c>
      <c r="R410" s="89" t="s">
        <v>90</v>
      </c>
      <c r="S410" s="89" t="s">
        <v>90</v>
      </c>
      <c r="T410" s="89" t="s">
        <v>90</v>
      </c>
      <c r="U410" s="90" t="s">
        <v>90</v>
      </c>
    </row>
    <row r="411" spans="1:21">
      <c r="A411" s="88">
        <v>410</v>
      </c>
      <c r="B411" s="89">
        <v>38</v>
      </c>
      <c r="C411" s="89">
        <v>5</v>
      </c>
      <c r="D411" s="89" t="s">
        <v>62</v>
      </c>
      <c r="E411" s="89">
        <v>1</v>
      </c>
      <c r="F411" s="89">
        <v>0</v>
      </c>
      <c r="G411" s="89">
        <v>10000</v>
      </c>
      <c r="H411" s="89">
        <v>70</v>
      </c>
      <c r="I411" s="89">
        <v>0</v>
      </c>
      <c r="J411" s="89">
        <v>48</v>
      </c>
      <c r="K411" s="89">
        <v>12</v>
      </c>
      <c r="L411" s="89">
        <v>55.64</v>
      </c>
      <c r="M411" s="89">
        <v>0.004784</v>
      </c>
      <c r="N411" s="89">
        <v>120</v>
      </c>
      <c r="O411" s="89">
        <v>1750</v>
      </c>
      <c r="P411" s="89">
        <v>60</v>
      </c>
      <c r="Q411" s="89">
        <v>0</v>
      </c>
      <c r="R411" s="89" t="s">
        <v>90</v>
      </c>
      <c r="S411" s="89" t="s">
        <v>90</v>
      </c>
      <c r="T411" s="89" t="s">
        <v>90</v>
      </c>
      <c r="U411" s="90" t="s">
        <v>90</v>
      </c>
    </row>
    <row r="412" spans="1:21">
      <c r="A412" s="88">
        <v>411</v>
      </c>
      <c r="B412" s="89">
        <v>38</v>
      </c>
      <c r="C412" s="89">
        <v>12</v>
      </c>
      <c r="D412" s="89" t="s">
        <v>62</v>
      </c>
      <c r="E412" s="89">
        <v>1</v>
      </c>
      <c r="F412" s="89">
        <v>0</v>
      </c>
      <c r="G412" s="89">
        <v>30312.9049178945</v>
      </c>
      <c r="H412" s="89">
        <v>0</v>
      </c>
      <c r="I412" s="89">
        <v>100</v>
      </c>
      <c r="J412" s="89">
        <v>0</v>
      </c>
      <c r="K412" s="89">
        <v>0</v>
      </c>
      <c r="L412" s="89">
        <v>6.3</v>
      </c>
      <c r="M412" s="89">
        <v>0</v>
      </c>
      <c r="N412" s="89">
        <v>0</v>
      </c>
      <c r="O412" s="89">
        <v>420</v>
      </c>
      <c r="P412" s="89">
        <v>25</v>
      </c>
      <c r="Q412" s="89">
        <v>0</v>
      </c>
      <c r="R412" s="89" t="s">
        <v>90</v>
      </c>
      <c r="S412" s="89" t="s">
        <v>90</v>
      </c>
      <c r="T412" s="89" t="s">
        <v>90</v>
      </c>
      <c r="U412" s="90" t="s">
        <v>90</v>
      </c>
    </row>
    <row r="413" spans="1:21">
      <c r="A413" s="88">
        <v>412</v>
      </c>
      <c r="B413" s="89">
        <v>38</v>
      </c>
      <c r="C413" s="89">
        <v>14</v>
      </c>
      <c r="D413" s="89" t="s">
        <v>62</v>
      </c>
      <c r="E413" s="89">
        <v>1</v>
      </c>
      <c r="F413" s="89">
        <v>0</v>
      </c>
      <c r="G413" s="89">
        <v>1680.26539746177</v>
      </c>
      <c r="H413" s="89">
        <v>0</v>
      </c>
      <c r="I413" s="89">
        <v>100</v>
      </c>
      <c r="J413" s="89">
        <v>0</v>
      </c>
      <c r="K413" s="89">
        <v>0</v>
      </c>
      <c r="L413" s="89">
        <v>14.6</v>
      </c>
      <c r="M413" s="89">
        <v>0</v>
      </c>
      <c r="N413" s="89">
        <v>0</v>
      </c>
      <c r="O413" s="89">
        <v>520</v>
      </c>
      <c r="P413" s="89">
        <v>25</v>
      </c>
      <c r="Q413" s="89">
        <v>0</v>
      </c>
      <c r="R413" s="89" t="s">
        <v>90</v>
      </c>
      <c r="S413" s="89" t="s">
        <v>90</v>
      </c>
      <c r="T413" s="89" t="s">
        <v>90</v>
      </c>
      <c r="U413" s="90" t="s">
        <v>90</v>
      </c>
    </row>
    <row r="414" spans="1:21">
      <c r="A414" s="88">
        <v>413</v>
      </c>
      <c r="B414" s="89">
        <v>38</v>
      </c>
      <c r="C414" s="89">
        <v>15</v>
      </c>
      <c r="D414" s="89" t="s">
        <v>62</v>
      </c>
      <c r="E414" s="89">
        <v>1</v>
      </c>
      <c r="F414" s="89">
        <v>0</v>
      </c>
      <c r="G414" s="89">
        <v>25846.1538461538</v>
      </c>
      <c r="H414" s="89">
        <v>0</v>
      </c>
      <c r="I414" s="89">
        <v>100</v>
      </c>
      <c r="J414" s="89">
        <v>0</v>
      </c>
      <c r="K414" s="89">
        <v>0</v>
      </c>
      <c r="L414" s="89">
        <v>43.45</v>
      </c>
      <c r="M414" s="89">
        <v>0</v>
      </c>
      <c r="N414" s="89">
        <v>0</v>
      </c>
      <c r="O414" s="89">
        <v>1400</v>
      </c>
      <c r="P414" s="89">
        <v>25</v>
      </c>
      <c r="Q414" s="89">
        <v>0</v>
      </c>
      <c r="R414" s="89" t="s">
        <v>90</v>
      </c>
      <c r="S414" s="89" t="s">
        <v>90</v>
      </c>
      <c r="T414" s="89" t="s">
        <v>90</v>
      </c>
      <c r="U414" s="90" t="s">
        <v>90</v>
      </c>
    </row>
    <row r="415" spans="1:21">
      <c r="A415" s="88">
        <v>414</v>
      </c>
      <c r="B415" s="89">
        <v>39</v>
      </c>
      <c r="C415" s="89">
        <v>1</v>
      </c>
      <c r="D415" s="89" t="s">
        <v>62</v>
      </c>
      <c r="E415" s="89">
        <v>1</v>
      </c>
      <c r="F415" s="89">
        <v>0</v>
      </c>
      <c r="G415" s="89">
        <v>-1</v>
      </c>
      <c r="H415" s="89">
        <v>35</v>
      </c>
      <c r="I415" s="89">
        <v>3</v>
      </c>
      <c r="J415" s="89">
        <v>48</v>
      </c>
      <c r="K415" s="89">
        <v>12</v>
      </c>
      <c r="L415" s="89">
        <v>6.2</v>
      </c>
      <c r="M415" s="89">
        <v>0.0257402231759657</v>
      </c>
      <c r="N415" s="89">
        <v>100</v>
      </c>
      <c r="O415" s="89">
        <v>350</v>
      </c>
      <c r="P415" s="89">
        <v>30</v>
      </c>
      <c r="Q415" s="89">
        <v>0.76</v>
      </c>
      <c r="R415" s="89" t="s">
        <v>90</v>
      </c>
      <c r="S415" s="89" t="s">
        <v>90</v>
      </c>
      <c r="T415" s="89" t="s">
        <v>90</v>
      </c>
      <c r="U415" s="90" t="s">
        <v>90</v>
      </c>
    </row>
    <row r="416" spans="1:21">
      <c r="A416" s="88">
        <v>415</v>
      </c>
      <c r="B416" s="89">
        <v>39</v>
      </c>
      <c r="C416" s="89">
        <v>2</v>
      </c>
      <c r="D416" s="89" t="s">
        <v>62</v>
      </c>
      <c r="E416" s="89">
        <v>1</v>
      </c>
      <c r="F416" s="89">
        <v>0</v>
      </c>
      <c r="G416" s="89">
        <v>-1</v>
      </c>
      <c r="H416" s="89">
        <v>50</v>
      </c>
      <c r="I416" s="89">
        <v>1</v>
      </c>
      <c r="J416" s="89">
        <v>24</v>
      </c>
      <c r="K416" s="89">
        <v>6</v>
      </c>
      <c r="L416" s="89">
        <v>6.2</v>
      </c>
      <c r="M416" s="89">
        <v>0.028834</v>
      </c>
      <c r="N416" s="89">
        <v>30</v>
      </c>
      <c r="O416" s="89">
        <v>420</v>
      </c>
      <c r="P416" s="89">
        <v>30</v>
      </c>
      <c r="Q416" s="89">
        <v>0.85</v>
      </c>
      <c r="R416" s="89" t="s">
        <v>90</v>
      </c>
      <c r="S416" s="89" t="s">
        <v>90</v>
      </c>
      <c r="T416" s="89" t="s">
        <v>90</v>
      </c>
      <c r="U416" s="90" t="s">
        <v>90</v>
      </c>
    </row>
    <row r="417" spans="1:21">
      <c r="A417" s="88">
        <v>416</v>
      </c>
      <c r="B417" s="89">
        <v>39</v>
      </c>
      <c r="C417" s="89">
        <v>3</v>
      </c>
      <c r="D417" s="89" t="s">
        <v>62</v>
      </c>
      <c r="E417" s="89">
        <v>1</v>
      </c>
      <c r="F417" s="89">
        <v>0</v>
      </c>
      <c r="G417" s="89">
        <v>2400</v>
      </c>
      <c r="H417" s="89">
        <v>30</v>
      </c>
      <c r="I417" s="89">
        <v>7</v>
      </c>
      <c r="J417" s="89">
        <v>2</v>
      </c>
      <c r="K417" s="89">
        <v>1</v>
      </c>
      <c r="L417" s="89">
        <v>9.8</v>
      </c>
      <c r="M417" s="89">
        <v>0.053302</v>
      </c>
      <c r="N417" s="89">
        <v>80</v>
      </c>
      <c r="O417" s="89">
        <v>200</v>
      </c>
      <c r="P417" s="89">
        <v>30</v>
      </c>
      <c r="Q417" s="89">
        <v>0.31</v>
      </c>
      <c r="R417" s="89" t="s">
        <v>90</v>
      </c>
      <c r="S417" s="89" t="s">
        <v>90</v>
      </c>
      <c r="T417" s="89" t="s">
        <v>90</v>
      </c>
      <c r="U417" s="90" t="s">
        <v>90</v>
      </c>
    </row>
    <row r="418" spans="1:21">
      <c r="A418" s="88">
        <v>417</v>
      </c>
      <c r="B418" s="89">
        <v>39</v>
      </c>
      <c r="C418" s="89">
        <v>12</v>
      </c>
      <c r="D418" s="89" t="s">
        <v>62</v>
      </c>
      <c r="E418" s="89">
        <v>1</v>
      </c>
      <c r="F418" s="89">
        <v>0</v>
      </c>
      <c r="G418" s="89">
        <v>70118.3257206088</v>
      </c>
      <c r="H418" s="89">
        <v>0</v>
      </c>
      <c r="I418" s="89">
        <v>100</v>
      </c>
      <c r="J418" s="89">
        <v>0</v>
      </c>
      <c r="K418" s="89">
        <v>0</v>
      </c>
      <c r="L418" s="89">
        <v>6.3</v>
      </c>
      <c r="M418" s="89">
        <v>0</v>
      </c>
      <c r="N418" s="89">
        <v>0</v>
      </c>
      <c r="O418" s="89">
        <v>420</v>
      </c>
      <c r="P418" s="89">
        <v>25</v>
      </c>
      <c r="Q418" s="89">
        <v>0</v>
      </c>
      <c r="R418" s="89" t="s">
        <v>90</v>
      </c>
      <c r="S418" s="89" t="s">
        <v>90</v>
      </c>
      <c r="T418" s="89" t="s">
        <v>90</v>
      </c>
      <c r="U418" s="90" t="s">
        <v>90</v>
      </c>
    </row>
    <row r="419" spans="1:21">
      <c r="A419" s="88">
        <v>418</v>
      </c>
      <c r="B419" s="89">
        <v>39</v>
      </c>
      <c r="C419" s="89">
        <v>14</v>
      </c>
      <c r="D419" s="89" t="s">
        <v>62</v>
      </c>
      <c r="E419" s="89">
        <v>1</v>
      </c>
      <c r="F419" s="89">
        <v>0</v>
      </c>
      <c r="G419" s="89">
        <v>4706.58039641958</v>
      </c>
      <c r="H419" s="89">
        <v>0</v>
      </c>
      <c r="I419" s="89">
        <v>100</v>
      </c>
      <c r="J419" s="89">
        <v>0</v>
      </c>
      <c r="K419" s="89">
        <v>0</v>
      </c>
      <c r="L419" s="89">
        <v>14.6</v>
      </c>
      <c r="M419" s="89">
        <v>0</v>
      </c>
      <c r="N419" s="89">
        <v>0</v>
      </c>
      <c r="O419" s="89">
        <v>520</v>
      </c>
      <c r="P419" s="89">
        <v>25</v>
      </c>
      <c r="Q419" s="89">
        <v>0</v>
      </c>
      <c r="R419" s="89" t="s">
        <v>90</v>
      </c>
      <c r="S419" s="89" t="s">
        <v>90</v>
      </c>
      <c r="T419" s="89" t="s">
        <v>90</v>
      </c>
      <c r="U419" s="90" t="s">
        <v>90</v>
      </c>
    </row>
    <row r="420" spans="1:21">
      <c r="A420" s="88">
        <v>419</v>
      </c>
      <c r="B420" s="89">
        <v>40</v>
      </c>
      <c r="C420" s="89">
        <v>1</v>
      </c>
      <c r="D420" s="89" t="s">
        <v>62</v>
      </c>
      <c r="E420" s="89">
        <v>1</v>
      </c>
      <c r="F420" s="89">
        <v>0</v>
      </c>
      <c r="G420" s="89">
        <v>-1</v>
      </c>
      <c r="H420" s="89">
        <v>35</v>
      </c>
      <c r="I420" s="89">
        <v>3</v>
      </c>
      <c r="J420" s="89">
        <v>48</v>
      </c>
      <c r="K420" s="89">
        <v>12</v>
      </c>
      <c r="L420" s="89">
        <v>6.2</v>
      </c>
      <c r="M420" s="89">
        <v>0.0257402231759657</v>
      </c>
      <c r="N420" s="89">
        <v>100</v>
      </c>
      <c r="O420" s="89">
        <v>350</v>
      </c>
      <c r="P420" s="89">
        <v>30</v>
      </c>
      <c r="Q420" s="89">
        <v>0.76</v>
      </c>
      <c r="R420" s="89" t="s">
        <v>90</v>
      </c>
      <c r="S420" s="89" t="s">
        <v>90</v>
      </c>
      <c r="T420" s="89" t="s">
        <v>90</v>
      </c>
      <c r="U420" s="90" t="s">
        <v>90</v>
      </c>
    </row>
    <row r="421" spans="1:21">
      <c r="A421" s="88">
        <v>420</v>
      </c>
      <c r="B421" s="89">
        <v>40</v>
      </c>
      <c r="C421" s="89">
        <v>2</v>
      </c>
      <c r="D421" s="89" t="s">
        <v>62</v>
      </c>
      <c r="E421" s="89">
        <v>1</v>
      </c>
      <c r="F421" s="89">
        <v>0</v>
      </c>
      <c r="G421" s="89">
        <v>-1</v>
      </c>
      <c r="H421" s="89">
        <v>50</v>
      </c>
      <c r="I421" s="89">
        <v>1</v>
      </c>
      <c r="J421" s="89">
        <v>24</v>
      </c>
      <c r="K421" s="89">
        <v>6</v>
      </c>
      <c r="L421" s="89">
        <v>6.2</v>
      </c>
      <c r="M421" s="89">
        <v>0.028834</v>
      </c>
      <c r="N421" s="89">
        <v>30</v>
      </c>
      <c r="O421" s="89">
        <v>420</v>
      </c>
      <c r="P421" s="89">
        <v>30</v>
      </c>
      <c r="Q421" s="89">
        <v>0.85</v>
      </c>
      <c r="R421" s="89" t="s">
        <v>90</v>
      </c>
      <c r="S421" s="89" t="s">
        <v>90</v>
      </c>
      <c r="T421" s="89" t="s">
        <v>90</v>
      </c>
      <c r="U421" s="90" t="s">
        <v>90</v>
      </c>
    </row>
    <row r="422" spans="1:21">
      <c r="A422" s="88">
        <v>421</v>
      </c>
      <c r="B422" s="89">
        <v>40</v>
      </c>
      <c r="C422" s="89">
        <v>3</v>
      </c>
      <c r="D422" s="89" t="s">
        <v>62</v>
      </c>
      <c r="E422" s="89">
        <v>1</v>
      </c>
      <c r="F422" s="89">
        <v>0</v>
      </c>
      <c r="G422" s="89">
        <v>3200</v>
      </c>
      <c r="H422" s="89">
        <v>30</v>
      </c>
      <c r="I422" s="89">
        <v>7</v>
      </c>
      <c r="J422" s="89">
        <v>2</v>
      </c>
      <c r="K422" s="89">
        <v>1</v>
      </c>
      <c r="L422" s="89">
        <v>9.8</v>
      </c>
      <c r="M422" s="89">
        <v>0.053302</v>
      </c>
      <c r="N422" s="89">
        <v>80</v>
      </c>
      <c r="O422" s="89">
        <v>200</v>
      </c>
      <c r="P422" s="89">
        <v>30</v>
      </c>
      <c r="Q422" s="89">
        <v>0.31</v>
      </c>
      <c r="R422" s="89" t="s">
        <v>90</v>
      </c>
      <c r="S422" s="89" t="s">
        <v>90</v>
      </c>
      <c r="T422" s="89" t="s">
        <v>90</v>
      </c>
      <c r="U422" s="90" t="s">
        <v>90</v>
      </c>
    </row>
    <row r="423" spans="1:21">
      <c r="A423" s="88">
        <v>422</v>
      </c>
      <c r="B423" s="89">
        <v>40</v>
      </c>
      <c r="C423" s="89">
        <v>4</v>
      </c>
      <c r="D423" s="89" t="s">
        <v>62</v>
      </c>
      <c r="E423" s="89">
        <v>1</v>
      </c>
      <c r="F423" s="89">
        <v>0</v>
      </c>
      <c r="G423" s="89">
        <v>3935</v>
      </c>
      <c r="H423" s="89">
        <v>0</v>
      </c>
      <c r="I423" s="89">
        <v>100</v>
      </c>
      <c r="J423" s="89">
        <v>0</v>
      </c>
      <c r="K423" s="89">
        <v>0</v>
      </c>
      <c r="L423" s="89">
        <v>25.93</v>
      </c>
      <c r="M423" s="89">
        <v>0</v>
      </c>
      <c r="N423" s="89">
        <v>0</v>
      </c>
      <c r="O423" s="89">
        <v>1400</v>
      </c>
      <c r="P423" s="89">
        <v>80</v>
      </c>
      <c r="Q423" s="89">
        <v>0</v>
      </c>
      <c r="R423" s="89" t="s">
        <v>90</v>
      </c>
      <c r="S423" s="89" t="s">
        <v>90</v>
      </c>
      <c r="T423" s="89" t="s">
        <v>90</v>
      </c>
      <c r="U423" s="90" t="s">
        <v>90</v>
      </c>
    </row>
    <row r="424" spans="1:21">
      <c r="A424" s="88">
        <v>423</v>
      </c>
      <c r="B424" s="89">
        <v>40</v>
      </c>
      <c r="C424" s="89">
        <v>5</v>
      </c>
      <c r="D424" s="89" t="s">
        <v>62</v>
      </c>
      <c r="E424" s="89">
        <v>1</v>
      </c>
      <c r="F424" s="89">
        <v>0</v>
      </c>
      <c r="G424" s="89">
        <v>7500</v>
      </c>
      <c r="H424" s="89">
        <v>70</v>
      </c>
      <c r="I424" s="89">
        <v>0</v>
      </c>
      <c r="J424" s="89">
        <v>48</v>
      </c>
      <c r="K424" s="89">
        <v>12</v>
      </c>
      <c r="L424" s="89">
        <v>55.64</v>
      </c>
      <c r="M424" s="89">
        <v>0.004784</v>
      </c>
      <c r="N424" s="89">
        <v>120</v>
      </c>
      <c r="O424" s="89">
        <v>1750</v>
      </c>
      <c r="P424" s="89">
        <v>60</v>
      </c>
      <c r="Q424" s="89">
        <v>0</v>
      </c>
      <c r="R424" s="89" t="s">
        <v>90</v>
      </c>
      <c r="S424" s="89" t="s">
        <v>90</v>
      </c>
      <c r="T424" s="89" t="s">
        <v>90</v>
      </c>
      <c r="U424" s="90" t="s">
        <v>90</v>
      </c>
    </row>
    <row r="425" spans="1:21">
      <c r="A425" s="88">
        <v>424</v>
      </c>
      <c r="B425" s="89">
        <v>40</v>
      </c>
      <c r="C425" s="89">
        <v>12</v>
      </c>
      <c r="D425" s="89" t="s">
        <v>62</v>
      </c>
      <c r="E425" s="89">
        <v>1</v>
      </c>
      <c r="F425" s="89">
        <v>0</v>
      </c>
      <c r="G425" s="89">
        <v>60765.841702373</v>
      </c>
      <c r="H425" s="89">
        <v>0</v>
      </c>
      <c r="I425" s="89">
        <v>100</v>
      </c>
      <c r="J425" s="89">
        <v>0</v>
      </c>
      <c r="K425" s="89">
        <v>0</v>
      </c>
      <c r="L425" s="89">
        <v>6.3</v>
      </c>
      <c r="M425" s="89">
        <v>0</v>
      </c>
      <c r="N425" s="89">
        <v>0</v>
      </c>
      <c r="O425" s="89">
        <v>420</v>
      </c>
      <c r="P425" s="89">
        <v>25</v>
      </c>
      <c r="Q425" s="89">
        <v>0</v>
      </c>
      <c r="R425" s="89" t="s">
        <v>90</v>
      </c>
      <c r="S425" s="89" t="s">
        <v>90</v>
      </c>
      <c r="T425" s="89" t="s">
        <v>90</v>
      </c>
      <c r="U425" s="90" t="s">
        <v>90</v>
      </c>
    </row>
    <row r="426" spans="1:21">
      <c r="A426" s="88">
        <v>425</v>
      </c>
      <c r="B426" s="89">
        <v>40</v>
      </c>
      <c r="C426" s="89">
        <v>14</v>
      </c>
      <c r="D426" s="89" t="s">
        <v>62</v>
      </c>
      <c r="E426" s="89">
        <v>1</v>
      </c>
      <c r="F426" s="89">
        <v>0</v>
      </c>
      <c r="G426" s="89">
        <v>2000.46617257066</v>
      </c>
      <c r="H426" s="89">
        <v>0</v>
      </c>
      <c r="I426" s="89">
        <v>100</v>
      </c>
      <c r="J426" s="89">
        <v>0</v>
      </c>
      <c r="K426" s="89">
        <v>0</v>
      </c>
      <c r="L426" s="89">
        <v>14.6</v>
      </c>
      <c r="M426" s="89">
        <v>0</v>
      </c>
      <c r="N426" s="89">
        <v>0</v>
      </c>
      <c r="O426" s="89">
        <v>520</v>
      </c>
      <c r="P426" s="89">
        <v>25</v>
      </c>
      <c r="Q426" s="89">
        <v>0</v>
      </c>
      <c r="R426" s="89" t="s">
        <v>90</v>
      </c>
      <c r="S426" s="89" t="s">
        <v>90</v>
      </c>
      <c r="T426" s="89" t="s">
        <v>90</v>
      </c>
      <c r="U426" s="90" t="s">
        <v>90</v>
      </c>
    </row>
    <row r="427" spans="1:21">
      <c r="A427" s="88">
        <v>426</v>
      </c>
      <c r="B427" s="89">
        <v>40</v>
      </c>
      <c r="C427" s="89">
        <v>15</v>
      </c>
      <c r="D427" s="89" t="s">
        <v>62</v>
      </c>
      <c r="E427" s="89">
        <v>1</v>
      </c>
      <c r="F427" s="89">
        <v>0</v>
      </c>
      <c r="G427" s="89">
        <v>22153.8461538461</v>
      </c>
      <c r="H427" s="89">
        <v>0</v>
      </c>
      <c r="I427" s="89">
        <v>100</v>
      </c>
      <c r="J427" s="89">
        <v>0</v>
      </c>
      <c r="K427" s="89">
        <v>0</v>
      </c>
      <c r="L427" s="89">
        <v>43.45</v>
      </c>
      <c r="M427" s="89">
        <v>0</v>
      </c>
      <c r="N427" s="89">
        <v>0</v>
      </c>
      <c r="O427" s="89">
        <v>1400</v>
      </c>
      <c r="P427" s="89">
        <v>25</v>
      </c>
      <c r="Q427" s="89">
        <v>0</v>
      </c>
      <c r="R427" s="89" t="s">
        <v>90</v>
      </c>
      <c r="S427" s="89" t="s">
        <v>90</v>
      </c>
      <c r="T427" s="89" t="s">
        <v>90</v>
      </c>
      <c r="U427" s="90" t="s">
        <v>90</v>
      </c>
    </row>
    <row r="428" spans="1:21">
      <c r="A428" s="88">
        <v>427</v>
      </c>
      <c r="B428" s="89">
        <v>41</v>
      </c>
      <c r="C428" s="89">
        <v>1</v>
      </c>
      <c r="D428" s="89" t="s">
        <v>67</v>
      </c>
      <c r="E428" s="89">
        <v>1</v>
      </c>
      <c r="F428" s="89">
        <v>0</v>
      </c>
      <c r="G428" s="89">
        <v>16000</v>
      </c>
      <c r="H428" s="89">
        <v>35</v>
      </c>
      <c r="I428" s="89">
        <v>3</v>
      </c>
      <c r="J428" s="89">
        <v>48</v>
      </c>
      <c r="K428" s="89">
        <v>12</v>
      </c>
      <c r="L428" s="89">
        <v>6.2</v>
      </c>
      <c r="M428" s="89">
        <v>0.022768</v>
      </c>
      <c r="N428" s="89">
        <v>100</v>
      </c>
      <c r="O428" s="89">
        <v>350</v>
      </c>
      <c r="P428" s="89">
        <v>30</v>
      </c>
      <c r="Q428" s="89">
        <v>0.76</v>
      </c>
      <c r="R428" s="89" t="s">
        <v>90</v>
      </c>
      <c r="S428" s="89" t="s">
        <v>90</v>
      </c>
      <c r="T428" s="89" t="s">
        <v>90</v>
      </c>
      <c r="U428" s="90" t="s">
        <v>90</v>
      </c>
    </row>
    <row r="429" spans="1:21">
      <c r="A429" s="88">
        <v>428</v>
      </c>
      <c r="B429" s="89">
        <v>41</v>
      </c>
      <c r="C429" s="89">
        <v>11</v>
      </c>
      <c r="D429" s="89" t="s">
        <v>67</v>
      </c>
      <c r="E429" s="89">
        <v>1</v>
      </c>
      <c r="F429" s="89">
        <v>0</v>
      </c>
      <c r="G429" s="89">
        <v>32000</v>
      </c>
      <c r="H429" s="89">
        <v>0</v>
      </c>
      <c r="I429" s="89">
        <v>100</v>
      </c>
      <c r="J429" s="89">
        <v>0</v>
      </c>
      <c r="K429" s="89">
        <v>0</v>
      </c>
      <c r="L429" s="89">
        <v>6.65</v>
      </c>
      <c r="M429" s="89">
        <v>0</v>
      </c>
      <c r="N429" s="89">
        <v>0</v>
      </c>
      <c r="O429" s="89">
        <v>420</v>
      </c>
      <c r="P429" s="89">
        <v>25</v>
      </c>
      <c r="Q429" s="89">
        <v>0</v>
      </c>
      <c r="R429" s="89" t="s">
        <v>90</v>
      </c>
      <c r="S429" s="89" t="s">
        <v>90</v>
      </c>
      <c r="T429" s="89" t="s">
        <v>90</v>
      </c>
      <c r="U429" s="90" t="s">
        <v>90</v>
      </c>
    </row>
    <row r="430" spans="1:21">
      <c r="A430" s="88">
        <v>429</v>
      </c>
      <c r="B430" s="89">
        <v>41</v>
      </c>
      <c r="C430" s="89">
        <v>13</v>
      </c>
      <c r="D430" s="89" t="s">
        <v>67</v>
      </c>
      <c r="E430" s="89">
        <v>1</v>
      </c>
      <c r="F430" s="89">
        <v>0</v>
      </c>
      <c r="G430" s="89">
        <v>1200</v>
      </c>
      <c r="H430" s="89">
        <v>0</v>
      </c>
      <c r="I430" s="89">
        <v>100</v>
      </c>
      <c r="J430" s="89">
        <v>0</v>
      </c>
      <c r="K430" s="89">
        <v>0</v>
      </c>
      <c r="L430" s="89">
        <v>54.047448</v>
      </c>
      <c r="M430" s="89">
        <v>0</v>
      </c>
      <c r="N430" s="89">
        <v>0</v>
      </c>
      <c r="O430" s="89">
        <v>2700</v>
      </c>
      <c r="P430" s="89">
        <v>35</v>
      </c>
      <c r="Q430" s="89">
        <v>0</v>
      </c>
      <c r="R430" s="89">
        <v>12</v>
      </c>
      <c r="S430" s="89">
        <v>98</v>
      </c>
      <c r="T430" s="89">
        <v>40</v>
      </c>
      <c r="U430" s="90">
        <v>2.4</v>
      </c>
    </row>
    <row r="431" spans="1:21">
      <c r="A431" s="88">
        <v>430</v>
      </c>
      <c r="B431" s="89">
        <v>41</v>
      </c>
      <c r="C431" s="89">
        <v>14</v>
      </c>
      <c r="D431" s="89" t="s">
        <v>67</v>
      </c>
      <c r="E431" s="89">
        <v>1</v>
      </c>
      <c r="F431" s="89">
        <v>0</v>
      </c>
      <c r="G431" s="89">
        <v>16000</v>
      </c>
      <c r="H431" s="89">
        <v>0</v>
      </c>
      <c r="I431" s="89">
        <v>100</v>
      </c>
      <c r="J431" s="89">
        <v>0</v>
      </c>
      <c r="K431" s="89">
        <v>0</v>
      </c>
      <c r="L431" s="89">
        <v>14.6</v>
      </c>
      <c r="M431" s="89">
        <v>0</v>
      </c>
      <c r="N431" s="89">
        <v>0</v>
      </c>
      <c r="O431" s="89">
        <v>520</v>
      </c>
      <c r="P431" s="89">
        <v>25</v>
      </c>
      <c r="Q431" s="89">
        <v>0</v>
      </c>
      <c r="R431" s="89" t="s">
        <v>90</v>
      </c>
      <c r="S431" s="89" t="s">
        <v>90</v>
      </c>
      <c r="T431" s="89" t="s">
        <v>90</v>
      </c>
      <c r="U431" s="90" t="s">
        <v>90</v>
      </c>
    </row>
    <row r="432" spans="1:21">
      <c r="A432" s="88">
        <v>431</v>
      </c>
      <c r="B432" s="89">
        <v>42</v>
      </c>
      <c r="C432" s="89">
        <v>1</v>
      </c>
      <c r="D432" s="89" t="s">
        <v>69</v>
      </c>
      <c r="E432" s="89">
        <v>1</v>
      </c>
      <c r="F432" s="89">
        <v>0</v>
      </c>
      <c r="G432" s="89">
        <v>18000</v>
      </c>
      <c r="H432" s="89">
        <v>35</v>
      </c>
      <c r="I432" s="89">
        <v>3</v>
      </c>
      <c r="J432" s="89">
        <v>48</v>
      </c>
      <c r="K432" s="89">
        <v>12</v>
      </c>
      <c r="L432" s="89">
        <v>6.2</v>
      </c>
      <c r="M432" s="89">
        <v>0.017589</v>
      </c>
      <c r="N432" s="89">
        <v>100</v>
      </c>
      <c r="O432" s="89">
        <v>350</v>
      </c>
      <c r="P432" s="89">
        <v>30</v>
      </c>
      <c r="Q432" s="89">
        <v>0.76</v>
      </c>
      <c r="R432" s="89" t="s">
        <v>90</v>
      </c>
      <c r="S432" s="89" t="s">
        <v>90</v>
      </c>
      <c r="T432" s="89" t="s">
        <v>90</v>
      </c>
      <c r="U432" s="90" t="s">
        <v>90</v>
      </c>
    </row>
    <row r="433" spans="1:21">
      <c r="A433" s="88">
        <v>432</v>
      </c>
      <c r="B433" s="89">
        <v>42</v>
      </c>
      <c r="C433" s="89">
        <v>11</v>
      </c>
      <c r="D433" s="89" t="s">
        <v>69</v>
      </c>
      <c r="E433" s="89">
        <v>1</v>
      </c>
      <c r="F433" s="89">
        <v>0</v>
      </c>
      <c r="G433" s="89">
        <v>14000</v>
      </c>
      <c r="H433" s="89">
        <v>0</v>
      </c>
      <c r="I433" s="89">
        <v>100</v>
      </c>
      <c r="J433" s="89">
        <v>0</v>
      </c>
      <c r="K433" s="89">
        <v>0</v>
      </c>
      <c r="L433" s="89">
        <v>6.65</v>
      </c>
      <c r="M433" s="89">
        <v>0</v>
      </c>
      <c r="N433" s="89">
        <v>0</v>
      </c>
      <c r="O433" s="89">
        <v>420</v>
      </c>
      <c r="P433" s="89">
        <v>25</v>
      </c>
      <c r="Q433" s="89">
        <v>0</v>
      </c>
      <c r="R433" s="89" t="s">
        <v>90</v>
      </c>
      <c r="S433" s="89" t="s">
        <v>90</v>
      </c>
      <c r="T433" s="89" t="s">
        <v>90</v>
      </c>
      <c r="U433" s="90" t="s">
        <v>90</v>
      </c>
    </row>
    <row r="434" spans="1:21">
      <c r="A434" s="88">
        <v>433</v>
      </c>
      <c r="B434" s="89">
        <v>42</v>
      </c>
      <c r="C434" s="89">
        <v>14</v>
      </c>
      <c r="D434" s="89" t="s">
        <v>69</v>
      </c>
      <c r="E434" s="89">
        <v>1</v>
      </c>
      <c r="F434" s="89">
        <v>0</v>
      </c>
      <c r="G434" s="89">
        <v>30000</v>
      </c>
      <c r="H434" s="89">
        <v>0</v>
      </c>
      <c r="I434" s="89">
        <v>100</v>
      </c>
      <c r="J434" s="89">
        <v>0</v>
      </c>
      <c r="K434" s="89">
        <v>0</v>
      </c>
      <c r="L434" s="89">
        <v>14.6</v>
      </c>
      <c r="M434" s="89">
        <v>0</v>
      </c>
      <c r="N434" s="89">
        <v>0</v>
      </c>
      <c r="O434" s="89">
        <v>520</v>
      </c>
      <c r="P434" s="89">
        <v>25</v>
      </c>
      <c r="Q434" s="89">
        <v>0</v>
      </c>
      <c r="R434" s="89" t="s">
        <v>90</v>
      </c>
      <c r="S434" s="89" t="s">
        <v>90</v>
      </c>
      <c r="T434" s="89" t="s">
        <v>90</v>
      </c>
      <c r="U434" s="90" t="s">
        <v>90</v>
      </c>
    </row>
    <row r="435" spans="1:21">
      <c r="A435" s="88">
        <v>434</v>
      </c>
      <c r="B435" s="89">
        <v>43</v>
      </c>
      <c r="C435" s="89">
        <v>1</v>
      </c>
      <c r="D435" s="89" t="s">
        <v>71</v>
      </c>
      <c r="E435" s="89">
        <v>1</v>
      </c>
      <c r="F435" s="89">
        <v>0</v>
      </c>
      <c r="G435" s="89">
        <v>18000</v>
      </c>
      <c r="H435" s="89">
        <v>35</v>
      </c>
      <c r="I435" s="89">
        <v>3</v>
      </c>
      <c r="J435" s="89">
        <v>48</v>
      </c>
      <c r="K435" s="89">
        <v>12</v>
      </c>
      <c r="L435" s="89">
        <v>6.2</v>
      </c>
      <c r="M435" s="89">
        <v>0.021295</v>
      </c>
      <c r="N435" s="89">
        <v>100</v>
      </c>
      <c r="O435" s="89">
        <v>350</v>
      </c>
      <c r="P435" s="89">
        <v>30</v>
      </c>
      <c r="Q435" s="89">
        <v>0.76</v>
      </c>
      <c r="R435" s="89" t="s">
        <v>90</v>
      </c>
      <c r="S435" s="89" t="s">
        <v>90</v>
      </c>
      <c r="T435" s="89" t="s">
        <v>90</v>
      </c>
      <c r="U435" s="90" t="s">
        <v>90</v>
      </c>
    </row>
    <row r="436" spans="1:21">
      <c r="A436" s="88">
        <v>435</v>
      </c>
      <c r="B436" s="89">
        <v>43</v>
      </c>
      <c r="C436" s="89">
        <v>11</v>
      </c>
      <c r="D436" s="89" t="s">
        <v>71</v>
      </c>
      <c r="E436" s="89">
        <v>1</v>
      </c>
      <c r="F436" s="89">
        <v>0</v>
      </c>
      <c r="G436" s="89">
        <v>40000</v>
      </c>
      <c r="H436" s="89">
        <v>0</v>
      </c>
      <c r="I436" s="89">
        <v>100</v>
      </c>
      <c r="J436" s="89">
        <v>0</v>
      </c>
      <c r="K436" s="89">
        <v>0</v>
      </c>
      <c r="L436" s="89">
        <v>6.65</v>
      </c>
      <c r="M436" s="89">
        <v>0</v>
      </c>
      <c r="N436" s="89">
        <v>0</v>
      </c>
      <c r="O436" s="89">
        <v>420</v>
      </c>
      <c r="P436" s="89">
        <v>25</v>
      </c>
      <c r="Q436" s="89">
        <v>0</v>
      </c>
      <c r="R436" s="89" t="s">
        <v>90</v>
      </c>
      <c r="S436" s="89" t="s">
        <v>90</v>
      </c>
      <c r="T436" s="89" t="s">
        <v>90</v>
      </c>
      <c r="U436" s="90" t="s">
        <v>90</v>
      </c>
    </row>
    <row r="437" ht="14.6" spans="1:21">
      <c r="A437" s="91">
        <v>436</v>
      </c>
      <c r="B437" s="92">
        <v>43</v>
      </c>
      <c r="C437" s="92">
        <v>14</v>
      </c>
      <c r="D437" s="92" t="s">
        <v>71</v>
      </c>
      <c r="E437" s="92">
        <v>1</v>
      </c>
      <c r="F437" s="92">
        <v>0</v>
      </c>
      <c r="G437" s="92">
        <v>16000</v>
      </c>
      <c r="H437" s="92">
        <v>0</v>
      </c>
      <c r="I437" s="92">
        <v>100</v>
      </c>
      <c r="J437" s="92">
        <v>0</v>
      </c>
      <c r="K437" s="92">
        <v>0</v>
      </c>
      <c r="L437" s="92">
        <v>14.6</v>
      </c>
      <c r="M437" s="92">
        <v>0</v>
      </c>
      <c r="N437" s="92">
        <v>0</v>
      </c>
      <c r="O437" s="92">
        <v>520</v>
      </c>
      <c r="P437" s="92">
        <v>25</v>
      </c>
      <c r="Q437" s="92">
        <v>0</v>
      </c>
      <c r="R437" s="92" t="s">
        <v>90</v>
      </c>
      <c r="S437" s="92" t="s">
        <v>90</v>
      </c>
      <c r="T437" s="92" t="s">
        <v>90</v>
      </c>
      <c r="U437" s="93" t="s">
        <v>90</v>
      </c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85"/>
  <sheetViews>
    <sheetView zoomScale="130" zoomScaleNormal="130" workbookViewId="0">
      <selection activeCell="F75" sqref="F75"/>
    </sheetView>
  </sheetViews>
  <sheetFormatPr defaultColWidth="9" defaultRowHeight="13.85"/>
  <cols>
    <col min="1" max="1" width="10.3362831858407" customWidth="1"/>
    <col min="2" max="2" width="9.88495575221239" customWidth="1"/>
    <col min="3" max="3" width="11.8849557522124" customWidth="1"/>
    <col min="5" max="5" width="19.6637168141593" customWidth="1"/>
    <col min="6" max="6" width="18" customWidth="1"/>
    <col min="7" max="7" width="29.8849557522124" customWidth="1"/>
    <col min="8" max="8" width="27.3362831858407" customWidth="1"/>
    <col min="9" max="9" width="20.2212389380531" customWidth="1"/>
    <col min="10" max="10" width="10.2212389380531" customWidth="1"/>
    <col min="11" max="11" width="25.8849557522124" customWidth="1"/>
  </cols>
  <sheetData>
    <row r="1" ht="36" spans="1:11">
      <c r="A1" s="81" t="s">
        <v>269</v>
      </c>
      <c r="B1" s="82" t="s">
        <v>17</v>
      </c>
      <c r="C1" s="82" t="s">
        <v>270</v>
      </c>
      <c r="D1" s="82" t="s">
        <v>19</v>
      </c>
      <c r="E1" s="82" t="s">
        <v>79</v>
      </c>
      <c r="F1" s="82" t="s">
        <v>271</v>
      </c>
      <c r="G1" s="82" t="s">
        <v>272</v>
      </c>
      <c r="H1" s="83" t="s">
        <v>277</v>
      </c>
      <c r="I1" s="83" t="s">
        <v>280</v>
      </c>
      <c r="J1" s="83" t="s">
        <v>281</v>
      </c>
      <c r="K1" s="84" t="s">
        <v>282</v>
      </c>
    </row>
    <row r="2" spans="1:11">
      <c r="A2" s="85">
        <v>1</v>
      </c>
      <c r="B2" s="86">
        <v>6</v>
      </c>
      <c r="C2" s="86">
        <v>21</v>
      </c>
      <c r="D2" s="86" t="s">
        <v>27</v>
      </c>
      <c r="E2" s="86">
        <v>0</v>
      </c>
      <c r="F2" s="86">
        <v>1000</v>
      </c>
      <c r="G2" s="86">
        <v>0</v>
      </c>
      <c r="H2" s="86">
        <v>13.75</v>
      </c>
      <c r="I2" s="86">
        <v>590</v>
      </c>
      <c r="J2" s="86">
        <v>50</v>
      </c>
      <c r="K2" s="87">
        <v>0</v>
      </c>
    </row>
    <row r="3" spans="1:11">
      <c r="A3" s="88">
        <v>2</v>
      </c>
      <c r="B3" s="89">
        <v>8</v>
      </c>
      <c r="C3" s="89">
        <v>21</v>
      </c>
      <c r="D3" s="89" t="s">
        <v>27</v>
      </c>
      <c r="E3" s="89">
        <v>0</v>
      </c>
      <c r="F3" s="89">
        <v>900</v>
      </c>
      <c r="G3" s="89">
        <v>0</v>
      </c>
      <c r="H3" s="89">
        <v>13.75</v>
      </c>
      <c r="I3" s="89">
        <v>590</v>
      </c>
      <c r="J3" s="89">
        <v>50</v>
      </c>
      <c r="K3" s="90">
        <v>0</v>
      </c>
    </row>
    <row r="4" spans="1:11">
      <c r="A4" s="88">
        <v>3</v>
      </c>
      <c r="B4" s="89">
        <v>10</v>
      </c>
      <c r="C4" s="89">
        <v>21</v>
      </c>
      <c r="D4" s="89" t="s">
        <v>27</v>
      </c>
      <c r="E4" s="89">
        <v>0</v>
      </c>
      <c r="F4" s="89">
        <v>1600</v>
      </c>
      <c r="G4" s="89">
        <v>0</v>
      </c>
      <c r="H4" s="89">
        <v>13.75</v>
      </c>
      <c r="I4" s="89">
        <v>590</v>
      </c>
      <c r="J4" s="89">
        <v>50</v>
      </c>
      <c r="K4" s="90">
        <v>0</v>
      </c>
    </row>
    <row r="5" spans="1:11">
      <c r="A5" s="88">
        <v>4</v>
      </c>
      <c r="B5" s="89">
        <v>18</v>
      </c>
      <c r="C5" s="89">
        <v>21</v>
      </c>
      <c r="D5" s="89" t="s">
        <v>41</v>
      </c>
      <c r="E5" s="89">
        <v>0</v>
      </c>
      <c r="F5" s="89">
        <v>3300</v>
      </c>
      <c r="G5" s="89">
        <v>0</v>
      </c>
      <c r="H5" s="89">
        <v>13.75</v>
      </c>
      <c r="I5" s="89">
        <v>590</v>
      </c>
      <c r="J5" s="89">
        <v>50</v>
      </c>
      <c r="K5" s="90">
        <v>0</v>
      </c>
    </row>
    <row r="6" spans="1:11">
      <c r="A6" s="88">
        <v>5</v>
      </c>
      <c r="B6" s="89">
        <v>18</v>
      </c>
      <c r="C6" s="89">
        <v>22</v>
      </c>
      <c r="D6" s="89" t="s">
        <v>41</v>
      </c>
      <c r="E6" s="89">
        <v>0</v>
      </c>
      <c r="F6" s="89">
        <v>152</v>
      </c>
      <c r="G6" s="89">
        <v>0</v>
      </c>
      <c r="H6" s="89">
        <v>6</v>
      </c>
      <c r="I6" s="89">
        <v>640</v>
      </c>
      <c r="J6" s="89">
        <v>15</v>
      </c>
      <c r="K6" s="90">
        <v>0</v>
      </c>
    </row>
    <row r="7" spans="1:11">
      <c r="A7" s="88">
        <v>6</v>
      </c>
      <c r="B7" s="89">
        <v>19</v>
      </c>
      <c r="C7" s="89">
        <v>21</v>
      </c>
      <c r="D7" s="89" t="s">
        <v>41</v>
      </c>
      <c r="E7" s="89">
        <v>0</v>
      </c>
      <c r="F7" s="89">
        <v>1200</v>
      </c>
      <c r="G7" s="89">
        <v>0</v>
      </c>
      <c r="H7" s="89">
        <v>13.75</v>
      </c>
      <c r="I7" s="89">
        <v>590</v>
      </c>
      <c r="J7" s="89">
        <v>50</v>
      </c>
      <c r="K7" s="90">
        <v>0</v>
      </c>
    </row>
    <row r="8" spans="1:11">
      <c r="A8" s="88">
        <v>7</v>
      </c>
      <c r="B8" s="89">
        <v>20</v>
      </c>
      <c r="C8" s="89">
        <v>21</v>
      </c>
      <c r="D8" s="89" t="s">
        <v>41</v>
      </c>
      <c r="E8" s="89">
        <v>0</v>
      </c>
      <c r="F8" s="89">
        <v>1800</v>
      </c>
      <c r="G8" s="89">
        <v>0</v>
      </c>
      <c r="H8" s="89">
        <v>13.75</v>
      </c>
      <c r="I8" s="89">
        <v>590</v>
      </c>
      <c r="J8" s="89">
        <v>50</v>
      </c>
      <c r="K8" s="90">
        <v>0</v>
      </c>
    </row>
    <row r="9" spans="1:11">
      <c r="A9" s="88">
        <v>8</v>
      </c>
      <c r="B9" s="89">
        <v>21</v>
      </c>
      <c r="C9" s="89">
        <v>22</v>
      </c>
      <c r="D9" s="89" t="s">
        <v>41</v>
      </c>
      <c r="E9" s="89">
        <v>0</v>
      </c>
      <c r="F9" s="89">
        <v>100</v>
      </c>
      <c r="G9" s="89">
        <v>0</v>
      </c>
      <c r="H9" s="89">
        <v>6</v>
      </c>
      <c r="I9" s="89">
        <v>640</v>
      </c>
      <c r="J9" s="89">
        <v>15</v>
      </c>
      <c r="K9" s="90">
        <v>0</v>
      </c>
    </row>
    <row r="10" spans="1:11">
      <c r="A10" s="88">
        <v>9</v>
      </c>
      <c r="B10" s="89">
        <v>23</v>
      </c>
      <c r="C10" s="89">
        <v>22</v>
      </c>
      <c r="D10" s="89" t="s">
        <v>41</v>
      </c>
      <c r="E10" s="89">
        <v>0</v>
      </c>
      <c r="F10" s="89">
        <v>250</v>
      </c>
      <c r="G10" s="89">
        <v>0</v>
      </c>
      <c r="H10" s="89">
        <v>6</v>
      </c>
      <c r="I10" s="89">
        <v>640</v>
      </c>
      <c r="J10" s="89">
        <v>15</v>
      </c>
      <c r="K10" s="90">
        <v>0</v>
      </c>
    </row>
    <row r="11" spans="1:11">
      <c r="A11" s="88">
        <v>10</v>
      </c>
      <c r="B11" s="89">
        <v>24</v>
      </c>
      <c r="C11" s="89">
        <v>22</v>
      </c>
      <c r="D11" s="89" t="s">
        <v>41</v>
      </c>
      <c r="E11" s="89">
        <v>0</v>
      </c>
      <c r="F11" s="89">
        <v>100</v>
      </c>
      <c r="G11" s="89">
        <v>0</v>
      </c>
      <c r="H11" s="89">
        <v>6</v>
      </c>
      <c r="I11" s="89">
        <v>640</v>
      </c>
      <c r="J11" s="89">
        <v>15</v>
      </c>
      <c r="K11" s="90">
        <v>0</v>
      </c>
    </row>
    <row r="12" spans="1:11">
      <c r="A12" s="88">
        <v>11</v>
      </c>
      <c r="B12" s="89">
        <v>25</v>
      </c>
      <c r="C12" s="89">
        <v>21</v>
      </c>
      <c r="D12" s="89" t="s">
        <v>41</v>
      </c>
      <c r="E12" s="89">
        <v>0</v>
      </c>
      <c r="F12" s="89">
        <v>1400</v>
      </c>
      <c r="G12" s="89">
        <v>0</v>
      </c>
      <c r="H12" s="89">
        <v>13.75</v>
      </c>
      <c r="I12" s="89">
        <v>590</v>
      </c>
      <c r="J12" s="89">
        <v>50</v>
      </c>
      <c r="K12" s="90">
        <v>0</v>
      </c>
    </row>
    <row r="13" spans="1:11">
      <c r="A13" s="88">
        <v>12</v>
      </c>
      <c r="B13" s="89">
        <v>26</v>
      </c>
      <c r="C13" s="89">
        <v>21</v>
      </c>
      <c r="D13" s="89" t="s">
        <v>41</v>
      </c>
      <c r="E13" s="89">
        <v>0</v>
      </c>
      <c r="F13" s="89">
        <v>2100</v>
      </c>
      <c r="G13" s="89">
        <v>0</v>
      </c>
      <c r="H13" s="89">
        <v>13.75</v>
      </c>
      <c r="I13" s="89">
        <v>590</v>
      </c>
      <c r="J13" s="89">
        <v>50</v>
      </c>
      <c r="K13" s="90">
        <v>0</v>
      </c>
    </row>
    <row r="14" spans="1:11">
      <c r="A14" s="88">
        <v>13</v>
      </c>
      <c r="B14" s="89">
        <v>28</v>
      </c>
      <c r="C14" s="89">
        <v>22</v>
      </c>
      <c r="D14" s="89" t="s">
        <v>41</v>
      </c>
      <c r="E14" s="89">
        <v>0</v>
      </c>
      <c r="F14" s="89">
        <v>50</v>
      </c>
      <c r="G14" s="89">
        <v>0</v>
      </c>
      <c r="H14" s="89">
        <v>6</v>
      </c>
      <c r="I14" s="89">
        <v>640</v>
      </c>
      <c r="J14" s="89">
        <v>15</v>
      </c>
      <c r="K14" s="90">
        <v>0</v>
      </c>
    </row>
    <row r="15" spans="1:11">
      <c r="A15" s="88">
        <v>14</v>
      </c>
      <c r="B15" s="89">
        <v>29</v>
      </c>
      <c r="C15" s="89">
        <v>21</v>
      </c>
      <c r="D15" s="89" t="s">
        <v>53</v>
      </c>
      <c r="E15" s="89">
        <v>0</v>
      </c>
      <c r="F15" s="89">
        <v>1000</v>
      </c>
      <c r="G15" s="89">
        <v>0</v>
      </c>
      <c r="H15" s="89">
        <v>13.75</v>
      </c>
      <c r="I15" s="89">
        <v>590</v>
      </c>
      <c r="J15" s="89">
        <v>50</v>
      </c>
      <c r="K15" s="90">
        <v>0</v>
      </c>
    </row>
    <row r="16" spans="1:11">
      <c r="A16" s="88">
        <v>15</v>
      </c>
      <c r="B16" s="89">
        <v>30</v>
      </c>
      <c r="C16" s="89">
        <v>21</v>
      </c>
      <c r="D16" s="89" t="s">
        <v>53</v>
      </c>
      <c r="E16" s="89">
        <v>0</v>
      </c>
      <c r="F16" s="89">
        <v>960</v>
      </c>
      <c r="G16" s="89">
        <v>0</v>
      </c>
      <c r="H16" s="89">
        <v>13.75</v>
      </c>
      <c r="I16" s="89">
        <v>590</v>
      </c>
      <c r="J16" s="89">
        <v>50</v>
      </c>
      <c r="K16" s="90">
        <v>0</v>
      </c>
    </row>
    <row r="17" spans="1:11">
      <c r="A17" s="88">
        <v>16</v>
      </c>
      <c r="B17" s="89">
        <v>31</v>
      </c>
      <c r="C17" s="89">
        <v>21</v>
      </c>
      <c r="D17" s="89" t="s">
        <v>53</v>
      </c>
      <c r="E17" s="89">
        <v>0</v>
      </c>
      <c r="F17" s="89">
        <v>1800</v>
      </c>
      <c r="G17" s="89">
        <v>0</v>
      </c>
      <c r="H17" s="89">
        <v>13.75</v>
      </c>
      <c r="I17" s="89">
        <v>590</v>
      </c>
      <c r="J17" s="89">
        <v>50</v>
      </c>
      <c r="K17" s="90">
        <v>0</v>
      </c>
    </row>
    <row r="18" spans="1:11">
      <c r="A18" s="88">
        <v>17</v>
      </c>
      <c r="B18" s="89">
        <v>32</v>
      </c>
      <c r="C18" s="89">
        <v>21</v>
      </c>
      <c r="D18" s="89" t="s">
        <v>53</v>
      </c>
      <c r="E18" s="89">
        <v>0</v>
      </c>
      <c r="F18" s="89">
        <v>1260</v>
      </c>
      <c r="G18" s="89">
        <v>0</v>
      </c>
      <c r="H18" s="89">
        <v>13.75</v>
      </c>
      <c r="I18" s="89">
        <v>590</v>
      </c>
      <c r="J18" s="89">
        <v>50</v>
      </c>
      <c r="K18" s="90">
        <v>0</v>
      </c>
    </row>
    <row r="19" spans="1:11">
      <c r="A19" s="88">
        <v>18</v>
      </c>
      <c r="B19" s="89">
        <v>33</v>
      </c>
      <c r="C19" s="89">
        <v>21</v>
      </c>
      <c r="D19" s="89" t="s">
        <v>53</v>
      </c>
      <c r="E19" s="89">
        <v>0</v>
      </c>
      <c r="F19" s="89">
        <v>600</v>
      </c>
      <c r="G19" s="89">
        <v>0</v>
      </c>
      <c r="H19" s="89">
        <v>13.75</v>
      </c>
      <c r="I19" s="89">
        <v>590</v>
      </c>
      <c r="J19" s="89">
        <v>50</v>
      </c>
      <c r="K19" s="90">
        <v>0</v>
      </c>
    </row>
    <row r="20" spans="1:11">
      <c r="A20" s="88">
        <v>19</v>
      </c>
      <c r="B20" s="89">
        <v>39</v>
      </c>
      <c r="C20" s="89">
        <v>21</v>
      </c>
      <c r="D20" s="89" t="s">
        <v>62</v>
      </c>
      <c r="E20" s="89">
        <v>0</v>
      </c>
      <c r="F20" s="89">
        <v>3800</v>
      </c>
      <c r="G20" s="89">
        <v>0</v>
      </c>
      <c r="H20" s="89">
        <v>13.75</v>
      </c>
      <c r="I20" s="89">
        <v>590</v>
      </c>
      <c r="J20" s="89">
        <v>50</v>
      </c>
      <c r="K20" s="90">
        <v>0</v>
      </c>
    </row>
    <row r="21" ht="14.6" spans="1:11">
      <c r="A21" s="91">
        <v>20</v>
      </c>
      <c r="B21" s="92">
        <v>40</v>
      </c>
      <c r="C21" s="92">
        <v>21</v>
      </c>
      <c r="D21" s="92" t="s">
        <v>62</v>
      </c>
      <c r="E21" s="92">
        <v>0</v>
      </c>
      <c r="F21" s="92">
        <v>1200</v>
      </c>
      <c r="G21" s="92">
        <v>0</v>
      </c>
      <c r="H21" s="92">
        <v>13.75</v>
      </c>
      <c r="I21" s="92">
        <v>590</v>
      </c>
      <c r="J21" s="92">
        <v>50</v>
      </c>
      <c r="K21" s="93">
        <v>0</v>
      </c>
    </row>
    <row r="22" spans="1:11">
      <c r="A22" s="85">
        <v>21</v>
      </c>
      <c r="B22" s="86">
        <v>1</v>
      </c>
      <c r="C22" s="86">
        <v>22</v>
      </c>
      <c r="D22" s="86" t="s">
        <v>22</v>
      </c>
      <c r="E22" s="86">
        <v>1</v>
      </c>
      <c r="F22" s="86">
        <v>0</v>
      </c>
      <c r="G22" s="86">
        <v>-1</v>
      </c>
      <c r="H22" s="86">
        <v>6</v>
      </c>
      <c r="I22" s="86">
        <v>640</v>
      </c>
      <c r="J22" s="86">
        <v>15</v>
      </c>
      <c r="K22" s="87">
        <v>0</v>
      </c>
    </row>
    <row r="23" spans="1:11">
      <c r="A23" s="88">
        <v>22</v>
      </c>
      <c r="B23" s="89">
        <v>2</v>
      </c>
      <c r="C23" s="89">
        <v>22</v>
      </c>
      <c r="D23" s="89" t="s">
        <v>22</v>
      </c>
      <c r="E23" s="89">
        <v>1</v>
      </c>
      <c r="F23" s="89">
        <v>0</v>
      </c>
      <c r="G23" s="89">
        <v>-1</v>
      </c>
      <c r="H23" s="89">
        <v>6</v>
      </c>
      <c r="I23" s="89">
        <v>640</v>
      </c>
      <c r="J23" s="89">
        <v>15</v>
      </c>
      <c r="K23" s="90">
        <v>0</v>
      </c>
    </row>
    <row r="24" spans="1:11">
      <c r="A24" s="88">
        <v>23</v>
      </c>
      <c r="B24" s="89">
        <v>3</v>
      </c>
      <c r="C24" s="89">
        <v>22</v>
      </c>
      <c r="D24" s="89" t="s">
        <v>22</v>
      </c>
      <c r="E24" s="89">
        <v>1</v>
      </c>
      <c r="F24" s="89">
        <v>0</v>
      </c>
      <c r="G24" s="89">
        <v>-1</v>
      </c>
      <c r="H24" s="89">
        <v>6</v>
      </c>
      <c r="I24" s="89">
        <v>640</v>
      </c>
      <c r="J24" s="89">
        <v>15</v>
      </c>
      <c r="K24" s="90">
        <v>0</v>
      </c>
    </row>
    <row r="25" spans="1:11">
      <c r="A25" s="88">
        <v>24</v>
      </c>
      <c r="B25" s="89">
        <v>4</v>
      </c>
      <c r="C25" s="89">
        <v>22</v>
      </c>
      <c r="D25" s="89" t="s">
        <v>22</v>
      </c>
      <c r="E25" s="89">
        <v>1</v>
      </c>
      <c r="F25" s="89">
        <v>0</v>
      </c>
      <c r="G25" s="89">
        <v>-1</v>
      </c>
      <c r="H25" s="89">
        <v>6</v>
      </c>
      <c r="I25" s="89">
        <v>640</v>
      </c>
      <c r="J25" s="89">
        <v>15</v>
      </c>
      <c r="K25" s="90">
        <v>0</v>
      </c>
    </row>
    <row r="26" spans="1:11">
      <c r="A26" s="88">
        <v>25</v>
      </c>
      <c r="B26" s="89">
        <v>5</v>
      </c>
      <c r="C26" s="89">
        <v>22</v>
      </c>
      <c r="D26" s="89" t="s">
        <v>27</v>
      </c>
      <c r="E26" s="89">
        <v>1</v>
      </c>
      <c r="F26" s="89">
        <v>0</v>
      </c>
      <c r="G26" s="89">
        <v>-1</v>
      </c>
      <c r="H26" s="89">
        <v>6</v>
      </c>
      <c r="I26" s="89">
        <v>640</v>
      </c>
      <c r="J26" s="89">
        <v>15</v>
      </c>
      <c r="K26" s="90">
        <v>0</v>
      </c>
    </row>
    <row r="27" spans="1:11">
      <c r="A27" s="88">
        <v>26</v>
      </c>
      <c r="B27" s="89">
        <v>6</v>
      </c>
      <c r="C27" s="89">
        <v>21</v>
      </c>
      <c r="D27" s="89" t="s">
        <v>27</v>
      </c>
      <c r="E27" s="89">
        <v>1</v>
      </c>
      <c r="F27" s="89">
        <v>0</v>
      </c>
      <c r="G27" s="89">
        <v>2180</v>
      </c>
      <c r="H27" s="89">
        <v>13.75</v>
      </c>
      <c r="I27" s="89">
        <v>590</v>
      </c>
      <c r="J27" s="89">
        <v>50</v>
      </c>
      <c r="K27" s="90">
        <v>0</v>
      </c>
    </row>
    <row r="28" spans="1:11">
      <c r="A28" s="88">
        <v>27</v>
      </c>
      <c r="B28" s="89">
        <v>6</v>
      </c>
      <c r="C28" s="89">
        <v>22</v>
      </c>
      <c r="D28" s="89" t="s">
        <v>27</v>
      </c>
      <c r="E28" s="89">
        <v>1</v>
      </c>
      <c r="F28" s="89">
        <v>0</v>
      </c>
      <c r="G28" s="89">
        <v>-1</v>
      </c>
      <c r="H28" s="89">
        <v>6</v>
      </c>
      <c r="I28" s="89">
        <v>640</v>
      </c>
      <c r="J28" s="89">
        <v>15</v>
      </c>
      <c r="K28" s="90">
        <v>0</v>
      </c>
    </row>
    <row r="29" spans="1:11">
      <c r="A29" s="88">
        <v>28</v>
      </c>
      <c r="B29" s="89">
        <v>7</v>
      </c>
      <c r="C29" s="89">
        <v>22</v>
      </c>
      <c r="D29" s="89" t="s">
        <v>27</v>
      </c>
      <c r="E29" s="89">
        <v>1</v>
      </c>
      <c r="F29" s="89">
        <v>0</v>
      </c>
      <c r="G29" s="89">
        <v>-1</v>
      </c>
      <c r="H29" s="89">
        <v>6</v>
      </c>
      <c r="I29" s="89">
        <v>640</v>
      </c>
      <c r="J29" s="89">
        <v>15</v>
      </c>
      <c r="K29" s="90">
        <v>0</v>
      </c>
    </row>
    <row r="30" spans="1:11">
      <c r="A30" s="88">
        <v>29</v>
      </c>
      <c r="B30" s="89">
        <v>8</v>
      </c>
      <c r="C30" s="89">
        <v>21</v>
      </c>
      <c r="D30" s="89" t="s">
        <v>27</v>
      </c>
      <c r="E30" s="89">
        <v>1</v>
      </c>
      <c r="F30" s="89">
        <v>0</v>
      </c>
      <c r="G30" s="89">
        <v>1965</v>
      </c>
      <c r="H30" s="89">
        <v>13.75</v>
      </c>
      <c r="I30" s="89">
        <v>590</v>
      </c>
      <c r="J30" s="89">
        <v>50</v>
      </c>
      <c r="K30" s="90">
        <v>0</v>
      </c>
    </row>
    <row r="31" spans="1:11">
      <c r="A31" s="88">
        <v>30</v>
      </c>
      <c r="B31" s="89">
        <v>8</v>
      </c>
      <c r="C31" s="89">
        <v>22</v>
      </c>
      <c r="D31" s="89" t="s">
        <v>27</v>
      </c>
      <c r="E31" s="89">
        <v>1</v>
      </c>
      <c r="F31" s="89">
        <v>0</v>
      </c>
      <c r="G31" s="89">
        <v>-1</v>
      </c>
      <c r="H31" s="89">
        <v>6</v>
      </c>
      <c r="I31" s="89">
        <v>640</v>
      </c>
      <c r="J31" s="89">
        <v>15</v>
      </c>
      <c r="K31" s="90">
        <v>0</v>
      </c>
    </row>
    <row r="32" spans="1:11">
      <c r="A32" s="88">
        <v>31</v>
      </c>
      <c r="B32" s="89">
        <v>9</v>
      </c>
      <c r="C32" s="89">
        <v>22</v>
      </c>
      <c r="D32" s="89" t="s">
        <v>27</v>
      </c>
      <c r="E32" s="89">
        <v>1</v>
      </c>
      <c r="F32" s="89">
        <v>0</v>
      </c>
      <c r="G32" s="89">
        <v>-1</v>
      </c>
      <c r="H32" s="89">
        <v>6</v>
      </c>
      <c r="I32" s="89">
        <v>640</v>
      </c>
      <c r="J32" s="89">
        <v>15</v>
      </c>
      <c r="K32" s="90">
        <v>0</v>
      </c>
    </row>
    <row r="33" spans="1:11">
      <c r="A33" s="88">
        <v>32</v>
      </c>
      <c r="B33" s="89">
        <v>10</v>
      </c>
      <c r="C33" s="89">
        <v>21</v>
      </c>
      <c r="D33" s="89" t="s">
        <v>27</v>
      </c>
      <c r="E33" s="89">
        <v>1</v>
      </c>
      <c r="F33" s="89">
        <v>0</v>
      </c>
      <c r="G33" s="89">
        <v>3490</v>
      </c>
      <c r="H33" s="89">
        <v>13.75</v>
      </c>
      <c r="I33" s="89">
        <v>590</v>
      </c>
      <c r="J33" s="89">
        <v>50</v>
      </c>
      <c r="K33" s="90">
        <v>0</v>
      </c>
    </row>
    <row r="34" spans="1:11">
      <c r="A34" s="88">
        <v>33</v>
      </c>
      <c r="B34" s="89">
        <v>10</v>
      </c>
      <c r="C34" s="89">
        <v>22</v>
      </c>
      <c r="D34" s="89" t="s">
        <v>27</v>
      </c>
      <c r="E34" s="89">
        <v>1</v>
      </c>
      <c r="F34" s="89">
        <v>0</v>
      </c>
      <c r="G34" s="89">
        <v>-1</v>
      </c>
      <c r="H34" s="89">
        <v>6</v>
      </c>
      <c r="I34" s="89">
        <v>640</v>
      </c>
      <c r="J34" s="89">
        <v>15</v>
      </c>
      <c r="K34" s="90">
        <v>0</v>
      </c>
    </row>
    <row r="35" spans="1:11">
      <c r="A35" s="88">
        <v>34</v>
      </c>
      <c r="B35" s="89">
        <v>11</v>
      </c>
      <c r="C35" s="89">
        <v>22</v>
      </c>
      <c r="D35" s="89" t="s">
        <v>27</v>
      </c>
      <c r="E35" s="89">
        <v>1</v>
      </c>
      <c r="F35" s="89">
        <v>0</v>
      </c>
      <c r="G35" s="89">
        <v>-1</v>
      </c>
      <c r="H35" s="89">
        <v>6</v>
      </c>
      <c r="I35" s="89">
        <v>640</v>
      </c>
      <c r="J35" s="89">
        <v>15</v>
      </c>
      <c r="K35" s="90">
        <v>0</v>
      </c>
    </row>
    <row r="36" spans="1:11">
      <c r="A36" s="88">
        <v>35</v>
      </c>
      <c r="B36" s="89">
        <v>12</v>
      </c>
      <c r="C36" s="89">
        <v>22</v>
      </c>
      <c r="D36" s="89" t="s">
        <v>27</v>
      </c>
      <c r="E36" s="89">
        <v>1</v>
      </c>
      <c r="F36" s="89">
        <v>0</v>
      </c>
      <c r="G36" s="89">
        <v>-1</v>
      </c>
      <c r="H36" s="89">
        <v>6</v>
      </c>
      <c r="I36" s="89">
        <v>640</v>
      </c>
      <c r="J36" s="89">
        <v>15</v>
      </c>
      <c r="K36" s="90">
        <v>0</v>
      </c>
    </row>
    <row r="37" spans="1:11">
      <c r="A37" s="88">
        <v>36</v>
      </c>
      <c r="B37" s="89">
        <v>13</v>
      </c>
      <c r="C37" s="89">
        <v>22</v>
      </c>
      <c r="D37" s="89" t="s">
        <v>27</v>
      </c>
      <c r="E37" s="89">
        <v>1</v>
      </c>
      <c r="F37" s="89">
        <v>0</v>
      </c>
      <c r="G37" s="89">
        <v>-1</v>
      </c>
      <c r="H37" s="89">
        <v>6</v>
      </c>
      <c r="I37" s="89">
        <v>640</v>
      </c>
      <c r="J37" s="89">
        <v>15</v>
      </c>
      <c r="K37" s="90">
        <v>0</v>
      </c>
    </row>
    <row r="38" spans="1:11">
      <c r="A38" s="88">
        <v>37</v>
      </c>
      <c r="B38" s="89">
        <v>14</v>
      </c>
      <c r="C38" s="89">
        <v>22</v>
      </c>
      <c r="D38" s="89" t="s">
        <v>27</v>
      </c>
      <c r="E38" s="89">
        <v>1</v>
      </c>
      <c r="F38" s="89">
        <v>0</v>
      </c>
      <c r="G38" s="89">
        <v>-1</v>
      </c>
      <c r="H38" s="89">
        <v>6</v>
      </c>
      <c r="I38" s="89">
        <v>640</v>
      </c>
      <c r="J38" s="89">
        <v>15</v>
      </c>
      <c r="K38" s="90">
        <v>0</v>
      </c>
    </row>
    <row r="39" spans="1:11">
      <c r="A39" s="88">
        <v>38</v>
      </c>
      <c r="B39" s="89">
        <v>15</v>
      </c>
      <c r="C39" s="89">
        <v>22</v>
      </c>
      <c r="D39" s="89" t="s">
        <v>27</v>
      </c>
      <c r="E39" s="89">
        <v>1</v>
      </c>
      <c r="F39" s="89">
        <v>0</v>
      </c>
      <c r="G39" s="89">
        <v>-1</v>
      </c>
      <c r="H39" s="89">
        <v>6</v>
      </c>
      <c r="I39" s="89">
        <v>640</v>
      </c>
      <c r="J39" s="89">
        <v>15</v>
      </c>
      <c r="K39" s="90">
        <v>0</v>
      </c>
    </row>
    <row r="40" spans="1:11">
      <c r="A40" s="88">
        <v>39</v>
      </c>
      <c r="B40" s="89">
        <v>16</v>
      </c>
      <c r="C40" s="89">
        <v>22</v>
      </c>
      <c r="D40" s="89" t="s">
        <v>27</v>
      </c>
      <c r="E40" s="89">
        <v>1</v>
      </c>
      <c r="F40" s="89">
        <v>0</v>
      </c>
      <c r="G40" s="89">
        <v>-1</v>
      </c>
      <c r="H40" s="89">
        <v>6</v>
      </c>
      <c r="I40" s="89">
        <v>640</v>
      </c>
      <c r="J40" s="89">
        <v>15</v>
      </c>
      <c r="K40" s="90">
        <v>0</v>
      </c>
    </row>
    <row r="41" spans="1:11">
      <c r="A41" s="88">
        <v>40</v>
      </c>
      <c r="B41" s="89">
        <v>17</v>
      </c>
      <c r="C41" s="89">
        <v>21</v>
      </c>
      <c r="D41" s="89" t="s">
        <v>27</v>
      </c>
      <c r="E41" s="89">
        <v>1</v>
      </c>
      <c r="F41" s="89">
        <v>0</v>
      </c>
      <c r="G41" s="89">
        <v>7000</v>
      </c>
      <c r="H41" s="89">
        <v>13.75</v>
      </c>
      <c r="I41" s="89">
        <v>590</v>
      </c>
      <c r="J41" s="89">
        <v>50</v>
      </c>
      <c r="K41" s="90">
        <v>0</v>
      </c>
    </row>
    <row r="42" spans="1:11">
      <c r="A42" s="88">
        <v>41</v>
      </c>
      <c r="B42" s="89">
        <v>17</v>
      </c>
      <c r="C42" s="89">
        <v>22</v>
      </c>
      <c r="D42" s="89" t="s">
        <v>27</v>
      </c>
      <c r="E42" s="89">
        <v>1</v>
      </c>
      <c r="F42" s="89">
        <v>0</v>
      </c>
      <c r="G42" s="89">
        <v>-1</v>
      </c>
      <c r="H42" s="89">
        <v>6</v>
      </c>
      <c r="I42" s="89">
        <v>640</v>
      </c>
      <c r="J42" s="89">
        <v>15</v>
      </c>
      <c r="K42" s="90">
        <v>0</v>
      </c>
    </row>
    <row r="43" spans="1:11">
      <c r="A43" s="88">
        <v>42</v>
      </c>
      <c r="B43" s="89">
        <v>18</v>
      </c>
      <c r="C43" s="89">
        <v>21</v>
      </c>
      <c r="D43" s="89" t="s">
        <v>41</v>
      </c>
      <c r="E43" s="89">
        <v>1</v>
      </c>
      <c r="F43" s="89">
        <v>0</v>
      </c>
      <c r="G43" s="89">
        <v>4600</v>
      </c>
      <c r="H43" s="89">
        <v>13.75</v>
      </c>
      <c r="I43" s="89">
        <v>590</v>
      </c>
      <c r="J43" s="89">
        <v>50</v>
      </c>
      <c r="K43" s="90">
        <v>0</v>
      </c>
    </row>
    <row r="44" spans="1:11">
      <c r="A44" s="88">
        <v>43</v>
      </c>
      <c r="B44" s="89">
        <v>18</v>
      </c>
      <c r="C44" s="89">
        <v>22</v>
      </c>
      <c r="D44" s="89" t="s">
        <v>41</v>
      </c>
      <c r="E44" s="89">
        <v>1</v>
      </c>
      <c r="F44" s="89">
        <v>0</v>
      </c>
      <c r="G44" s="89">
        <v>-1</v>
      </c>
      <c r="H44" s="89">
        <v>6</v>
      </c>
      <c r="I44" s="89">
        <v>640</v>
      </c>
      <c r="J44" s="89">
        <v>15</v>
      </c>
      <c r="K44" s="90">
        <v>0</v>
      </c>
    </row>
    <row r="45" spans="1:11">
      <c r="A45" s="88">
        <v>44</v>
      </c>
      <c r="B45" s="89">
        <v>19</v>
      </c>
      <c r="C45" s="89">
        <v>21</v>
      </c>
      <c r="D45" s="89" t="s">
        <v>41</v>
      </c>
      <c r="E45" s="89">
        <v>1</v>
      </c>
      <c r="F45" s="89">
        <v>0</v>
      </c>
      <c r="G45" s="89">
        <v>460</v>
      </c>
      <c r="H45" s="89">
        <v>13.75</v>
      </c>
      <c r="I45" s="89">
        <v>590</v>
      </c>
      <c r="J45" s="89">
        <v>50</v>
      </c>
      <c r="K45" s="90">
        <v>0</v>
      </c>
    </row>
    <row r="46" spans="1:11">
      <c r="A46" s="88">
        <v>45</v>
      </c>
      <c r="B46" s="89">
        <v>19</v>
      </c>
      <c r="C46" s="89">
        <v>22</v>
      </c>
      <c r="D46" s="89" t="s">
        <v>41</v>
      </c>
      <c r="E46" s="89">
        <v>1</v>
      </c>
      <c r="F46" s="89">
        <v>0</v>
      </c>
      <c r="G46" s="89">
        <v>-1</v>
      </c>
      <c r="H46" s="89">
        <v>6</v>
      </c>
      <c r="I46" s="89">
        <v>640</v>
      </c>
      <c r="J46" s="89">
        <v>15</v>
      </c>
      <c r="K46" s="90">
        <v>0</v>
      </c>
    </row>
    <row r="47" spans="1:11">
      <c r="A47" s="88">
        <v>46</v>
      </c>
      <c r="B47" s="89">
        <v>20</v>
      </c>
      <c r="C47" s="89">
        <v>21</v>
      </c>
      <c r="D47" s="89" t="s">
        <v>41</v>
      </c>
      <c r="E47" s="89">
        <v>1</v>
      </c>
      <c r="F47" s="89">
        <v>0</v>
      </c>
      <c r="G47" s="89">
        <v>5700</v>
      </c>
      <c r="H47" s="89">
        <v>13.75</v>
      </c>
      <c r="I47" s="89">
        <v>590</v>
      </c>
      <c r="J47" s="89">
        <v>50</v>
      </c>
      <c r="K47" s="90">
        <v>0</v>
      </c>
    </row>
    <row r="48" spans="1:11">
      <c r="A48" s="88">
        <v>47</v>
      </c>
      <c r="B48" s="89">
        <v>20</v>
      </c>
      <c r="C48" s="89">
        <v>22</v>
      </c>
      <c r="D48" s="89" t="s">
        <v>41</v>
      </c>
      <c r="E48" s="89">
        <v>1</v>
      </c>
      <c r="F48" s="89">
        <v>0</v>
      </c>
      <c r="G48" s="89">
        <v>-1</v>
      </c>
      <c r="H48" s="89">
        <v>6</v>
      </c>
      <c r="I48" s="89">
        <v>640</v>
      </c>
      <c r="J48" s="89">
        <v>15</v>
      </c>
      <c r="K48" s="90">
        <v>0</v>
      </c>
    </row>
    <row r="49" spans="1:11">
      <c r="A49" s="88">
        <v>48</v>
      </c>
      <c r="B49" s="89">
        <v>21</v>
      </c>
      <c r="C49" s="89">
        <v>21</v>
      </c>
      <c r="D49" s="89" t="s">
        <v>41</v>
      </c>
      <c r="E49" s="89">
        <v>1</v>
      </c>
      <c r="F49" s="89">
        <v>0</v>
      </c>
      <c r="G49" s="89">
        <v>11600</v>
      </c>
      <c r="H49" s="89">
        <v>13.75</v>
      </c>
      <c r="I49" s="89">
        <v>590</v>
      </c>
      <c r="J49" s="89">
        <v>50</v>
      </c>
      <c r="K49" s="90">
        <v>0</v>
      </c>
    </row>
    <row r="50" spans="1:11">
      <c r="A50" s="88">
        <v>49</v>
      </c>
      <c r="B50" s="89">
        <v>21</v>
      </c>
      <c r="C50" s="89">
        <v>22</v>
      </c>
      <c r="D50" s="89" t="s">
        <v>41</v>
      </c>
      <c r="E50" s="89">
        <v>1</v>
      </c>
      <c r="F50" s="89">
        <v>0</v>
      </c>
      <c r="G50" s="89">
        <v>-1</v>
      </c>
      <c r="H50" s="89">
        <v>6</v>
      </c>
      <c r="I50" s="89">
        <v>640</v>
      </c>
      <c r="J50" s="89">
        <v>15</v>
      </c>
      <c r="K50" s="90">
        <v>0</v>
      </c>
    </row>
    <row r="51" spans="1:11">
      <c r="A51" s="88">
        <v>50</v>
      </c>
      <c r="B51" s="89">
        <v>22</v>
      </c>
      <c r="C51" s="89">
        <v>22</v>
      </c>
      <c r="D51" s="89" t="s">
        <v>41</v>
      </c>
      <c r="E51" s="89">
        <v>1</v>
      </c>
      <c r="F51" s="89">
        <v>0</v>
      </c>
      <c r="G51" s="89">
        <v>-1</v>
      </c>
      <c r="H51" s="89">
        <v>6</v>
      </c>
      <c r="I51" s="89">
        <v>640</v>
      </c>
      <c r="J51" s="89">
        <v>15</v>
      </c>
      <c r="K51" s="90">
        <v>0</v>
      </c>
    </row>
    <row r="52" spans="1:11">
      <c r="A52" s="88">
        <v>51</v>
      </c>
      <c r="B52" s="89">
        <v>23</v>
      </c>
      <c r="C52" s="89">
        <v>21</v>
      </c>
      <c r="D52" s="89" t="s">
        <v>41</v>
      </c>
      <c r="E52" s="89">
        <v>1</v>
      </c>
      <c r="F52" s="89">
        <v>0</v>
      </c>
      <c r="G52" s="89">
        <v>6100</v>
      </c>
      <c r="H52" s="89">
        <v>13.75</v>
      </c>
      <c r="I52" s="89">
        <v>590</v>
      </c>
      <c r="J52" s="89">
        <v>50</v>
      </c>
      <c r="K52" s="90">
        <v>0</v>
      </c>
    </row>
    <row r="53" spans="1:11">
      <c r="A53" s="88">
        <v>52</v>
      </c>
      <c r="B53" s="89">
        <v>23</v>
      </c>
      <c r="C53" s="89">
        <v>22</v>
      </c>
      <c r="D53" s="89" t="s">
        <v>41</v>
      </c>
      <c r="E53" s="89">
        <v>1</v>
      </c>
      <c r="F53" s="89">
        <v>0</v>
      </c>
      <c r="G53" s="89">
        <v>-1</v>
      </c>
      <c r="H53" s="89">
        <v>6</v>
      </c>
      <c r="I53" s="89">
        <v>640</v>
      </c>
      <c r="J53" s="89">
        <v>15</v>
      </c>
      <c r="K53" s="90">
        <v>0</v>
      </c>
    </row>
    <row r="54" spans="1:11">
      <c r="A54" s="88">
        <v>53</v>
      </c>
      <c r="B54" s="89">
        <v>24</v>
      </c>
      <c r="C54" s="89">
        <v>22</v>
      </c>
      <c r="D54" s="89" t="s">
        <v>41</v>
      </c>
      <c r="E54" s="89">
        <v>1</v>
      </c>
      <c r="F54" s="89">
        <v>0</v>
      </c>
      <c r="G54" s="89">
        <v>-1</v>
      </c>
      <c r="H54" s="89">
        <v>6</v>
      </c>
      <c r="I54" s="89">
        <v>640</v>
      </c>
      <c r="J54" s="89">
        <v>15</v>
      </c>
      <c r="K54" s="90">
        <v>0</v>
      </c>
    </row>
    <row r="55" spans="1:11">
      <c r="A55" s="88">
        <v>54</v>
      </c>
      <c r="B55" s="89">
        <v>25</v>
      </c>
      <c r="C55" s="89">
        <v>21</v>
      </c>
      <c r="D55" s="89" t="s">
        <v>41</v>
      </c>
      <c r="E55" s="89">
        <v>1</v>
      </c>
      <c r="F55" s="89">
        <v>0</v>
      </c>
      <c r="G55" s="89">
        <v>1900</v>
      </c>
      <c r="H55" s="89">
        <v>13.75</v>
      </c>
      <c r="I55" s="89">
        <v>590</v>
      </c>
      <c r="J55" s="89">
        <v>50</v>
      </c>
      <c r="K55" s="90">
        <v>0</v>
      </c>
    </row>
    <row r="56" spans="1:11">
      <c r="A56" s="88">
        <v>55</v>
      </c>
      <c r="B56" s="89">
        <v>25</v>
      </c>
      <c r="C56" s="89">
        <v>22</v>
      </c>
      <c r="D56" s="89" t="s">
        <v>41</v>
      </c>
      <c r="E56" s="89">
        <v>1</v>
      </c>
      <c r="F56" s="89">
        <v>0</v>
      </c>
      <c r="G56" s="89">
        <v>-1</v>
      </c>
      <c r="H56" s="89">
        <v>6</v>
      </c>
      <c r="I56" s="89">
        <v>640</v>
      </c>
      <c r="J56" s="89">
        <v>15</v>
      </c>
      <c r="K56" s="90">
        <v>0</v>
      </c>
    </row>
    <row r="57" spans="1:11">
      <c r="A57" s="88">
        <v>56</v>
      </c>
      <c r="B57" s="89">
        <v>26</v>
      </c>
      <c r="C57" s="89">
        <v>21</v>
      </c>
      <c r="D57" s="89" t="s">
        <v>41</v>
      </c>
      <c r="E57" s="89">
        <v>1</v>
      </c>
      <c r="F57" s="89">
        <v>0</v>
      </c>
      <c r="G57" s="89">
        <v>800</v>
      </c>
      <c r="H57" s="89">
        <v>13.75</v>
      </c>
      <c r="I57" s="89">
        <v>590</v>
      </c>
      <c r="J57" s="89">
        <v>50</v>
      </c>
      <c r="K57" s="90">
        <v>0</v>
      </c>
    </row>
    <row r="58" spans="1:11">
      <c r="A58" s="88">
        <v>57</v>
      </c>
      <c r="B58" s="89">
        <v>26</v>
      </c>
      <c r="C58" s="89">
        <v>22</v>
      </c>
      <c r="D58" s="89" t="s">
        <v>41</v>
      </c>
      <c r="E58" s="89">
        <v>1</v>
      </c>
      <c r="F58" s="89">
        <v>0</v>
      </c>
      <c r="G58" s="89">
        <v>-1</v>
      </c>
      <c r="H58" s="89">
        <v>6</v>
      </c>
      <c r="I58" s="89">
        <v>640</v>
      </c>
      <c r="J58" s="89">
        <v>15</v>
      </c>
      <c r="K58" s="90">
        <v>0</v>
      </c>
    </row>
    <row r="59" spans="1:11">
      <c r="A59" s="88">
        <v>58</v>
      </c>
      <c r="B59" s="89">
        <v>27</v>
      </c>
      <c r="C59" s="89">
        <v>21</v>
      </c>
      <c r="D59" s="89" t="s">
        <v>41</v>
      </c>
      <c r="E59" s="89">
        <v>1</v>
      </c>
      <c r="F59" s="89">
        <v>0</v>
      </c>
      <c r="G59" s="89">
        <v>8600</v>
      </c>
      <c r="H59" s="89">
        <v>13.75</v>
      </c>
      <c r="I59" s="89">
        <v>590</v>
      </c>
      <c r="J59" s="89">
        <v>50</v>
      </c>
      <c r="K59" s="90">
        <v>0</v>
      </c>
    </row>
    <row r="60" spans="1:11">
      <c r="A60" s="88">
        <v>59</v>
      </c>
      <c r="B60" s="89">
        <v>27</v>
      </c>
      <c r="C60" s="89">
        <v>22</v>
      </c>
      <c r="D60" s="89" t="s">
        <v>41</v>
      </c>
      <c r="E60" s="89">
        <v>1</v>
      </c>
      <c r="F60" s="89">
        <v>0</v>
      </c>
      <c r="G60" s="89">
        <v>-1</v>
      </c>
      <c r="H60" s="89">
        <v>6</v>
      </c>
      <c r="I60" s="89">
        <v>640</v>
      </c>
      <c r="J60" s="89">
        <v>15</v>
      </c>
      <c r="K60" s="90">
        <v>0</v>
      </c>
    </row>
    <row r="61" spans="1:11">
      <c r="A61" s="88">
        <v>60</v>
      </c>
      <c r="B61" s="89">
        <v>28</v>
      </c>
      <c r="C61" s="89">
        <v>21</v>
      </c>
      <c r="D61" s="89" t="s">
        <v>41</v>
      </c>
      <c r="E61" s="89">
        <v>1</v>
      </c>
      <c r="F61" s="89">
        <v>0</v>
      </c>
      <c r="G61" s="89">
        <v>1700</v>
      </c>
      <c r="H61" s="89">
        <v>13.75</v>
      </c>
      <c r="I61" s="89">
        <v>590</v>
      </c>
      <c r="J61" s="89">
        <v>50</v>
      </c>
      <c r="K61" s="90">
        <v>0</v>
      </c>
    </row>
    <row r="62" spans="1:11">
      <c r="A62" s="88">
        <v>61</v>
      </c>
      <c r="B62" s="89">
        <v>28</v>
      </c>
      <c r="C62" s="89">
        <v>22</v>
      </c>
      <c r="D62" s="89" t="s">
        <v>41</v>
      </c>
      <c r="E62" s="89">
        <v>1</v>
      </c>
      <c r="F62" s="89">
        <v>0</v>
      </c>
      <c r="G62" s="89">
        <v>-1</v>
      </c>
      <c r="H62" s="89">
        <v>6</v>
      </c>
      <c r="I62" s="89">
        <v>640</v>
      </c>
      <c r="J62" s="89">
        <v>15</v>
      </c>
      <c r="K62" s="90">
        <v>0</v>
      </c>
    </row>
    <row r="63" spans="1:11">
      <c r="A63" s="88">
        <v>62</v>
      </c>
      <c r="B63" s="89">
        <v>29</v>
      </c>
      <c r="C63" s="89">
        <v>21</v>
      </c>
      <c r="D63" s="89" t="s">
        <v>53</v>
      </c>
      <c r="E63" s="89">
        <v>1</v>
      </c>
      <c r="F63" s="89">
        <v>0</v>
      </c>
      <c r="G63" s="89">
        <v>3600</v>
      </c>
      <c r="H63" s="89">
        <v>13.75</v>
      </c>
      <c r="I63" s="89">
        <v>590</v>
      </c>
      <c r="J63" s="89">
        <v>50</v>
      </c>
      <c r="K63" s="90">
        <v>0</v>
      </c>
    </row>
    <row r="64" spans="1:11">
      <c r="A64" s="88">
        <v>63</v>
      </c>
      <c r="B64" s="89">
        <v>29</v>
      </c>
      <c r="C64" s="89">
        <v>22</v>
      </c>
      <c r="D64" s="89" t="s">
        <v>53</v>
      </c>
      <c r="E64" s="89">
        <v>1</v>
      </c>
      <c r="F64" s="89">
        <v>0</v>
      </c>
      <c r="G64" s="89">
        <v>-1</v>
      </c>
      <c r="H64" s="89">
        <v>6</v>
      </c>
      <c r="I64" s="89">
        <v>640</v>
      </c>
      <c r="J64" s="89">
        <v>15</v>
      </c>
      <c r="K64" s="90">
        <v>0</v>
      </c>
    </row>
    <row r="65" spans="1:11">
      <c r="A65" s="88">
        <v>64</v>
      </c>
      <c r="B65" s="89">
        <v>30</v>
      </c>
      <c r="C65" s="89">
        <v>21</v>
      </c>
      <c r="D65" s="89" t="s">
        <v>53</v>
      </c>
      <c r="E65" s="89">
        <v>1</v>
      </c>
      <c r="F65" s="89">
        <v>0</v>
      </c>
      <c r="G65" s="89">
        <v>9400</v>
      </c>
      <c r="H65" s="89">
        <v>13.75</v>
      </c>
      <c r="I65" s="89">
        <v>590</v>
      </c>
      <c r="J65" s="89">
        <v>50</v>
      </c>
      <c r="K65" s="90">
        <v>0</v>
      </c>
    </row>
    <row r="66" spans="1:11">
      <c r="A66" s="88">
        <v>65</v>
      </c>
      <c r="B66" s="89">
        <v>30</v>
      </c>
      <c r="C66" s="89">
        <v>22</v>
      </c>
      <c r="D66" s="89" t="s">
        <v>53</v>
      </c>
      <c r="E66" s="89">
        <v>1</v>
      </c>
      <c r="F66" s="89">
        <v>0</v>
      </c>
      <c r="G66" s="89">
        <v>-1</v>
      </c>
      <c r="H66" s="89">
        <v>6</v>
      </c>
      <c r="I66" s="89">
        <v>640</v>
      </c>
      <c r="J66" s="89">
        <v>15</v>
      </c>
      <c r="K66" s="90">
        <v>0</v>
      </c>
    </row>
    <row r="67" spans="1:11">
      <c r="A67" s="88">
        <v>66</v>
      </c>
      <c r="B67" s="89">
        <v>31</v>
      </c>
      <c r="C67" s="89">
        <v>21</v>
      </c>
      <c r="D67" s="89" t="s">
        <v>53</v>
      </c>
      <c r="E67" s="89">
        <v>1</v>
      </c>
      <c r="F67" s="89">
        <v>0</v>
      </c>
      <c r="G67" s="89">
        <v>11000</v>
      </c>
      <c r="H67" s="89">
        <v>13.75</v>
      </c>
      <c r="I67" s="89">
        <v>590</v>
      </c>
      <c r="J67" s="89">
        <v>50</v>
      </c>
      <c r="K67" s="90">
        <v>0</v>
      </c>
    </row>
    <row r="68" spans="1:11">
      <c r="A68" s="88">
        <v>67</v>
      </c>
      <c r="B68" s="89">
        <v>31</v>
      </c>
      <c r="C68" s="89">
        <v>22</v>
      </c>
      <c r="D68" s="89" t="s">
        <v>53</v>
      </c>
      <c r="E68" s="89">
        <v>1</v>
      </c>
      <c r="F68" s="89">
        <v>0</v>
      </c>
      <c r="G68" s="89">
        <v>-1</v>
      </c>
      <c r="H68" s="89">
        <v>6</v>
      </c>
      <c r="I68" s="89">
        <v>640</v>
      </c>
      <c r="J68" s="89">
        <v>15</v>
      </c>
      <c r="K68" s="90">
        <v>0</v>
      </c>
    </row>
    <row r="69" spans="1:11">
      <c r="A69" s="88">
        <v>68</v>
      </c>
      <c r="B69" s="89">
        <v>32</v>
      </c>
      <c r="C69" s="89">
        <v>21</v>
      </c>
      <c r="D69" s="89" t="s">
        <v>53</v>
      </c>
      <c r="E69" s="89">
        <v>1</v>
      </c>
      <c r="F69" s="89">
        <v>0</v>
      </c>
      <c r="G69" s="89">
        <v>4300</v>
      </c>
      <c r="H69" s="89">
        <v>13.75</v>
      </c>
      <c r="I69" s="89">
        <v>590</v>
      </c>
      <c r="J69" s="89">
        <v>50</v>
      </c>
      <c r="K69" s="90">
        <v>0</v>
      </c>
    </row>
    <row r="70" spans="1:11">
      <c r="A70" s="88">
        <v>69</v>
      </c>
      <c r="B70" s="89">
        <v>32</v>
      </c>
      <c r="C70" s="89">
        <v>22</v>
      </c>
      <c r="D70" s="89" t="s">
        <v>53</v>
      </c>
      <c r="E70" s="89">
        <v>1</v>
      </c>
      <c r="F70" s="89">
        <v>0</v>
      </c>
      <c r="G70" s="89">
        <v>-1</v>
      </c>
      <c r="H70" s="89">
        <v>6</v>
      </c>
      <c r="I70" s="89">
        <v>640</v>
      </c>
      <c r="J70" s="89">
        <v>15</v>
      </c>
      <c r="K70" s="90">
        <v>0</v>
      </c>
    </row>
    <row r="71" spans="1:11">
      <c r="A71" s="88">
        <v>70</v>
      </c>
      <c r="B71" s="89">
        <v>33</v>
      </c>
      <c r="C71" s="89">
        <v>21</v>
      </c>
      <c r="D71" s="89" t="s">
        <v>53</v>
      </c>
      <c r="E71" s="89">
        <v>1</v>
      </c>
      <c r="F71" s="89">
        <v>0</v>
      </c>
      <c r="G71" s="89">
        <v>800</v>
      </c>
      <c r="H71" s="89">
        <v>13.75</v>
      </c>
      <c r="I71" s="89">
        <v>590</v>
      </c>
      <c r="J71" s="89">
        <v>50</v>
      </c>
      <c r="K71" s="90">
        <v>0</v>
      </c>
    </row>
    <row r="72" spans="1:11">
      <c r="A72" s="88">
        <v>71</v>
      </c>
      <c r="B72" s="89">
        <v>33</v>
      </c>
      <c r="C72" s="89">
        <v>22</v>
      </c>
      <c r="D72" s="89" t="s">
        <v>53</v>
      </c>
      <c r="E72" s="89">
        <v>1</v>
      </c>
      <c r="F72" s="89">
        <v>0</v>
      </c>
      <c r="G72" s="89">
        <v>-1</v>
      </c>
      <c r="H72" s="89">
        <v>6</v>
      </c>
      <c r="I72" s="89">
        <v>640</v>
      </c>
      <c r="J72" s="89">
        <v>15</v>
      </c>
      <c r="K72" s="90">
        <v>0</v>
      </c>
    </row>
    <row r="73" spans="1:11">
      <c r="A73" s="88">
        <v>72</v>
      </c>
      <c r="B73" s="89">
        <v>34</v>
      </c>
      <c r="C73" s="89">
        <v>22</v>
      </c>
      <c r="D73" s="89" t="s">
        <v>53</v>
      </c>
      <c r="E73" s="89">
        <v>1</v>
      </c>
      <c r="F73" s="89">
        <v>0</v>
      </c>
      <c r="G73" s="89">
        <v>-1</v>
      </c>
      <c r="H73" s="89">
        <v>6</v>
      </c>
      <c r="I73" s="89">
        <v>640</v>
      </c>
      <c r="J73" s="89">
        <v>15</v>
      </c>
      <c r="K73" s="90">
        <v>0</v>
      </c>
    </row>
    <row r="74" spans="1:11">
      <c r="A74" s="88">
        <v>73</v>
      </c>
      <c r="B74" s="89">
        <v>35</v>
      </c>
      <c r="C74" s="89">
        <v>22</v>
      </c>
      <c r="D74" s="89" t="s">
        <v>53</v>
      </c>
      <c r="E74" s="89">
        <v>1</v>
      </c>
      <c r="F74" s="89">
        <v>0</v>
      </c>
      <c r="G74" s="89">
        <v>-1</v>
      </c>
      <c r="H74" s="89">
        <v>6</v>
      </c>
      <c r="I74" s="89">
        <v>640</v>
      </c>
      <c r="J74" s="89">
        <v>15</v>
      </c>
      <c r="K74" s="90">
        <v>0</v>
      </c>
    </row>
    <row r="75" spans="1:11">
      <c r="A75" s="88">
        <v>74</v>
      </c>
      <c r="B75" s="89">
        <v>36</v>
      </c>
      <c r="C75" s="89">
        <v>21</v>
      </c>
      <c r="D75" s="89" t="s">
        <v>53</v>
      </c>
      <c r="E75" s="89">
        <v>1</v>
      </c>
      <c r="F75" s="89">
        <v>0</v>
      </c>
      <c r="G75" s="89">
        <v>2700</v>
      </c>
      <c r="H75" s="89">
        <v>13.75</v>
      </c>
      <c r="I75" s="89">
        <v>590</v>
      </c>
      <c r="J75" s="89">
        <v>50</v>
      </c>
      <c r="K75" s="90">
        <v>0</v>
      </c>
    </row>
    <row r="76" spans="1:11">
      <c r="A76" s="88">
        <v>75</v>
      </c>
      <c r="B76" s="89">
        <v>36</v>
      </c>
      <c r="C76" s="89">
        <v>22</v>
      </c>
      <c r="D76" s="89" t="s">
        <v>53</v>
      </c>
      <c r="E76" s="89">
        <v>1</v>
      </c>
      <c r="F76" s="89">
        <v>0</v>
      </c>
      <c r="G76" s="89">
        <v>-1</v>
      </c>
      <c r="H76" s="89">
        <v>6</v>
      </c>
      <c r="I76" s="89">
        <v>640</v>
      </c>
      <c r="J76" s="89">
        <v>15</v>
      </c>
      <c r="K76" s="90">
        <v>0</v>
      </c>
    </row>
    <row r="77" spans="1:11">
      <c r="A77" s="88">
        <v>76</v>
      </c>
      <c r="B77" s="89">
        <v>37</v>
      </c>
      <c r="C77" s="89">
        <v>22</v>
      </c>
      <c r="D77" s="89" t="s">
        <v>62</v>
      </c>
      <c r="E77" s="89">
        <v>1</v>
      </c>
      <c r="F77" s="89">
        <v>0</v>
      </c>
      <c r="G77" s="89">
        <v>-1</v>
      </c>
      <c r="H77" s="89">
        <v>6</v>
      </c>
      <c r="I77" s="89">
        <v>640</v>
      </c>
      <c r="J77" s="89">
        <v>15</v>
      </c>
      <c r="K77" s="90">
        <v>0</v>
      </c>
    </row>
    <row r="78" spans="1:11">
      <c r="A78" s="88">
        <v>77</v>
      </c>
      <c r="B78" s="89">
        <v>38</v>
      </c>
      <c r="C78" s="89">
        <v>22</v>
      </c>
      <c r="D78" s="89" t="s">
        <v>62</v>
      </c>
      <c r="E78" s="89">
        <v>1</v>
      </c>
      <c r="F78" s="89">
        <v>0</v>
      </c>
      <c r="G78" s="89">
        <v>-1</v>
      </c>
      <c r="H78" s="89">
        <v>6</v>
      </c>
      <c r="I78" s="89">
        <v>640</v>
      </c>
      <c r="J78" s="89">
        <v>15</v>
      </c>
      <c r="K78" s="90">
        <v>0</v>
      </c>
    </row>
    <row r="79" spans="1:11">
      <c r="A79" s="88">
        <v>78</v>
      </c>
      <c r="B79" s="89">
        <v>39</v>
      </c>
      <c r="C79" s="89">
        <v>21</v>
      </c>
      <c r="D79" s="89" t="s">
        <v>62</v>
      </c>
      <c r="E79" s="89">
        <v>1</v>
      </c>
      <c r="F79" s="89">
        <v>0</v>
      </c>
      <c r="G79" s="89">
        <v>11100</v>
      </c>
      <c r="H79" s="89">
        <v>13.75</v>
      </c>
      <c r="I79" s="89">
        <v>590</v>
      </c>
      <c r="J79" s="89">
        <v>50</v>
      </c>
      <c r="K79" s="90">
        <v>0</v>
      </c>
    </row>
    <row r="80" spans="1:11">
      <c r="A80" s="88">
        <v>79</v>
      </c>
      <c r="B80" s="89">
        <v>39</v>
      </c>
      <c r="C80" s="89">
        <v>22</v>
      </c>
      <c r="D80" s="89" t="s">
        <v>62</v>
      </c>
      <c r="E80" s="89">
        <v>1</v>
      </c>
      <c r="F80" s="89">
        <v>0</v>
      </c>
      <c r="G80" s="89">
        <v>-1</v>
      </c>
      <c r="H80" s="89">
        <v>6</v>
      </c>
      <c r="I80" s="89">
        <v>640</v>
      </c>
      <c r="J80" s="89">
        <v>15</v>
      </c>
      <c r="K80" s="90">
        <v>0</v>
      </c>
    </row>
    <row r="81" spans="1:11">
      <c r="A81" s="88">
        <v>80</v>
      </c>
      <c r="B81" s="89">
        <v>40</v>
      </c>
      <c r="C81" s="89">
        <v>21</v>
      </c>
      <c r="D81" s="89" t="s">
        <v>62</v>
      </c>
      <c r="E81" s="89">
        <v>1</v>
      </c>
      <c r="F81" s="89">
        <v>0</v>
      </c>
      <c r="G81" s="89">
        <v>3500</v>
      </c>
      <c r="H81" s="89">
        <v>13.75</v>
      </c>
      <c r="I81" s="89">
        <v>590</v>
      </c>
      <c r="J81" s="89">
        <v>50</v>
      </c>
      <c r="K81" s="90">
        <v>0</v>
      </c>
    </row>
    <row r="82" spans="1:11">
      <c r="A82" s="88">
        <v>81</v>
      </c>
      <c r="B82" s="89">
        <v>40</v>
      </c>
      <c r="C82" s="89">
        <v>22</v>
      </c>
      <c r="D82" s="89" t="s">
        <v>62</v>
      </c>
      <c r="E82" s="89">
        <v>1</v>
      </c>
      <c r="F82" s="89">
        <v>0</v>
      </c>
      <c r="G82" s="89">
        <v>-1</v>
      </c>
      <c r="H82" s="89">
        <v>6</v>
      </c>
      <c r="I82" s="89">
        <v>640</v>
      </c>
      <c r="J82" s="89">
        <v>15</v>
      </c>
      <c r="K82" s="90">
        <v>0</v>
      </c>
    </row>
    <row r="83" spans="1:11">
      <c r="A83" s="88">
        <v>82</v>
      </c>
      <c r="B83" s="89">
        <v>41</v>
      </c>
      <c r="C83" s="89">
        <v>22</v>
      </c>
      <c r="D83" s="89" t="s">
        <v>67</v>
      </c>
      <c r="E83" s="89">
        <v>1</v>
      </c>
      <c r="F83" s="89">
        <v>0</v>
      </c>
      <c r="G83" s="89">
        <v>-1</v>
      </c>
      <c r="H83" s="89">
        <v>6</v>
      </c>
      <c r="I83" s="89">
        <v>640</v>
      </c>
      <c r="J83" s="89">
        <v>15</v>
      </c>
      <c r="K83" s="90">
        <v>0</v>
      </c>
    </row>
    <row r="84" spans="1:11">
      <c r="A84" s="88">
        <v>83</v>
      </c>
      <c r="B84" s="89">
        <v>42</v>
      </c>
      <c r="C84" s="89">
        <v>22</v>
      </c>
      <c r="D84" s="89" t="s">
        <v>69</v>
      </c>
      <c r="E84" s="89">
        <v>1</v>
      </c>
      <c r="F84" s="89">
        <v>0</v>
      </c>
      <c r="G84" s="89">
        <v>-1</v>
      </c>
      <c r="H84" s="89">
        <v>6</v>
      </c>
      <c r="I84" s="89">
        <v>640</v>
      </c>
      <c r="J84" s="89">
        <v>15</v>
      </c>
      <c r="K84" s="90">
        <v>0</v>
      </c>
    </row>
    <row r="85" spans="1:11">
      <c r="A85" s="94">
        <v>84</v>
      </c>
      <c r="B85" s="95">
        <v>43</v>
      </c>
      <c r="C85" s="95">
        <v>22</v>
      </c>
      <c r="D85" s="95" t="s">
        <v>71</v>
      </c>
      <c r="E85" s="95">
        <v>1</v>
      </c>
      <c r="F85" s="95">
        <v>0</v>
      </c>
      <c r="G85" s="95">
        <v>-1</v>
      </c>
      <c r="H85" s="95">
        <v>6</v>
      </c>
      <c r="I85" s="95">
        <v>640</v>
      </c>
      <c r="J85" s="95">
        <v>15</v>
      </c>
      <c r="K85" s="96">
        <v>0</v>
      </c>
    </row>
  </sheetData>
  <autoFilter xmlns:etc="http://www.wps.cn/officeDocument/2017/etCustomData" ref="A1:K85" etc:filterBottomFollowUsedRange="0">
    <extLst/>
  </autoFilter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9"/>
  <sheetViews>
    <sheetView zoomScale="130" zoomScaleNormal="130" workbookViewId="0">
      <pane ySplit="1" topLeftCell="A2" activePane="bottomLeft" state="frozen"/>
      <selection/>
      <selection pane="bottomLeft" activeCell="J7" sqref="J7"/>
    </sheetView>
  </sheetViews>
  <sheetFormatPr defaultColWidth="9" defaultRowHeight="13.85"/>
  <cols>
    <col min="1" max="1" width="7.10619469026549" customWidth="1"/>
    <col min="2" max="2" width="9.44247787610619" customWidth="1"/>
    <col min="3" max="10" width="12.8849557522124" customWidth="1"/>
  </cols>
  <sheetData>
    <row r="1" ht="14.65" spans="1:10">
      <c r="A1" s="4" t="s">
        <v>19</v>
      </c>
      <c r="B1" s="2" t="s">
        <v>287</v>
      </c>
      <c r="C1" s="2" t="s">
        <v>288</v>
      </c>
      <c r="D1" s="2" t="s">
        <v>289</v>
      </c>
      <c r="E1" s="2" t="s">
        <v>290</v>
      </c>
      <c r="F1" s="2" t="s">
        <v>291</v>
      </c>
      <c r="G1" s="2" t="s">
        <v>292</v>
      </c>
      <c r="H1" s="2" t="s">
        <v>293</v>
      </c>
      <c r="I1" s="2" t="s">
        <v>294</v>
      </c>
      <c r="J1" s="3" t="s">
        <v>295</v>
      </c>
    </row>
    <row r="2" spans="1:10">
      <c r="A2" s="23" t="s">
        <v>22</v>
      </c>
      <c r="B2" s="24">
        <v>1</v>
      </c>
      <c r="C2" s="62">
        <v>25.739266834533</v>
      </c>
      <c r="D2" s="62">
        <v>28.2520745535394</v>
      </c>
      <c r="E2" s="62">
        <v>29.9961657701867</v>
      </c>
      <c r="F2" s="62">
        <v>32.4720852408221</v>
      </c>
      <c r="G2" s="62">
        <v>32.8114545297194</v>
      </c>
      <c r="H2" s="62">
        <v>33.8228590724924</v>
      </c>
      <c r="I2" s="62">
        <v>33.9092871918198</v>
      </c>
      <c r="J2" s="63">
        <v>33.8665869280735</v>
      </c>
    </row>
    <row r="3" spans="1:10">
      <c r="A3" s="26"/>
      <c r="B3" s="27">
        <v>2</v>
      </c>
      <c r="C3" s="64">
        <v>0.636589917637476</v>
      </c>
      <c r="D3" s="64">
        <v>0.632470145507277</v>
      </c>
      <c r="E3" s="64">
        <v>0.639210472679936</v>
      </c>
      <c r="F3" s="64">
        <v>0.639307535754725</v>
      </c>
      <c r="G3" s="64">
        <v>0.638304363340466</v>
      </c>
      <c r="H3" s="64">
        <v>0.638832610708354</v>
      </c>
      <c r="I3" s="64">
        <v>0.640844081240819</v>
      </c>
      <c r="J3" s="65">
        <v>0.635634841832008</v>
      </c>
    </row>
    <row r="4" spans="1:10">
      <c r="A4" s="26"/>
      <c r="B4" s="27">
        <v>3</v>
      </c>
      <c r="C4" s="64">
        <v>6.5998671455284</v>
      </c>
      <c r="D4" s="64">
        <v>9.53134827495689</v>
      </c>
      <c r="E4" s="64">
        <v>12.2489357918292</v>
      </c>
      <c r="F4" s="64">
        <v>14.1414178247329</v>
      </c>
      <c r="G4" s="64">
        <v>15.0481136877585</v>
      </c>
      <c r="H4" s="64">
        <v>13.7970042905633</v>
      </c>
      <c r="I4" s="64">
        <v>11.8547037954303</v>
      </c>
      <c r="J4" s="65">
        <v>10.135600571519</v>
      </c>
    </row>
    <row r="5" spans="1:10">
      <c r="A5" s="26"/>
      <c r="B5" s="27">
        <v>4</v>
      </c>
      <c r="C5" s="64">
        <v>2.60015338093676</v>
      </c>
      <c r="D5" s="64">
        <v>7.63215732025455</v>
      </c>
      <c r="E5" s="64">
        <v>12.8738498019237</v>
      </c>
      <c r="F5" s="64">
        <v>16.0724285681913</v>
      </c>
      <c r="G5" s="64">
        <v>19.8545435917912</v>
      </c>
      <c r="H5" s="64">
        <v>18.2842523210506</v>
      </c>
      <c r="I5" s="64">
        <v>17.6445017855454</v>
      </c>
      <c r="J5" s="65">
        <v>15.6944042564855</v>
      </c>
    </row>
    <row r="6" spans="1:10">
      <c r="A6" s="26"/>
      <c r="B6" s="27">
        <v>5</v>
      </c>
      <c r="C6" s="64">
        <v>0.317929398159363</v>
      </c>
      <c r="D6" s="64">
        <v>0.985678536459824</v>
      </c>
      <c r="E6" s="64">
        <v>2.66439593171858</v>
      </c>
      <c r="F6" s="64">
        <v>4.09266443525972</v>
      </c>
      <c r="G6" s="64">
        <v>6.34025449424256</v>
      </c>
      <c r="H6" s="64">
        <v>8.36869085840066</v>
      </c>
      <c r="I6" s="64">
        <v>10.8809205109369</v>
      </c>
      <c r="J6" s="65">
        <v>9.97860636532428</v>
      </c>
    </row>
    <row r="7" ht="14.6" spans="1:10">
      <c r="A7" s="29"/>
      <c r="B7" s="5">
        <v>6</v>
      </c>
      <c r="C7" s="66">
        <v>34.8416621509025</v>
      </c>
      <c r="D7" s="66">
        <v>45.6415513265582</v>
      </c>
      <c r="E7" s="66">
        <v>56.3036749862605</v>
      </c>
      <c r="F7" s="66">
        <v>63.8508891560693</v>
      </c>
      <c r="G7" s="66">
        <v>70.196531811576</v>
      </c>
      <c r="H7" s="66">
        <v>69.6289679592634</v>
      </c>
      <c r="I7" s="66">
        <v>69.5436893316171</v>
      </c>
      <c r="J7" s="67">
        <v>66.1061414194543</v>
      </c>
    </row>
    <row r="8" spans="1:10">
      <c r="A8" s="23" t="s">
        <v>27</v>
      </c>
      <c r="B8" s="24">
        <v>1</v>
      </c>
      <c r="C8" s="62">
        <v>148.438353646006</v>
      </c>
      <c r="D8" s="62">
        <v>163.004708004666</v>
      </c>
      <c r="E8" s="62">
        <v>173.794171466921</v>
      </c>
      <c r="F8" s="62">
        <v>187.529355388599</v>
      </c>
      <c r="G8" s="62">
        <v>189.799709045223</v>
      </c>
      <c r="H8" s="62">
        <v>193.884180178841</v>
      </c>
      <c r="I8" s="62">
        <v>194.48079344349</v>
      </c>
      <c r="J8" s="63">
        <v>193.475096561611</v>
      </c>
    </row>
    <row r="9" spans="1:10">
      <c r="A9" s="26"/>
      <c r="B9" s="27">
        <v>2</v>
      </c>
      <c r="C9" s="64">
        <v>2.47109464888286</v>
      </c>
      <c r="D9" s="64">
        <v>2.49202972806799</v>
      </c>
      <c r="E9" s="64">
        <v>2.5261042291226</v>
      </c>
      <c r="F9" s="64">
        <v>2.54130320218606</v>
      </c>
      <c r="G9" s="64">
        <v>2.52474004912287</v>
      </c>
      <c r="H9" s="64">
        <v>2.55128867302421</v>
      </c>
      <c r="I9" s="64">
        <v>2.52516556604527</v>
      </c>
      <c r="J9" s="65">
        <v>2.52325268787562</v>
      </c>
    </row>
    <row r="10" spans="1:10">
      <c r="A10" s="26"/>
      <c r="B10" s="27">
        <v>3</v>
      </c>
      <c r="C10" s="64">
        <v>3.34533802461323</v>
      </c>
      <c r="D10" s="64">
        <v>5.00718856145734</v>
      </c>
      <c r="E10" s="64">
        <v>6.70549745198706</v>
      </c>
      <c r="F10" s="64">
        <v>8.10861189130747</v>
      </c>
      <c r="G10" s="64">
        <v>9.10042940852365</v>
      </c>
      <c r="H10" s="64">
        <v>8.52833503187791</v>
      </c>
      <c r="I10" s="64">
        <v>7.99655900501907</v>
      </c>
      <c r="J10" s="65">
        <v>7.20457982420265</v>
      </c>
    </row>
    <row r="11" spans="1:10">
      <c r="A11" s="26"/>
      <c r="B11" s="27">
        <v>4</v>
      </c>
      <c r="C11" s="64">
        <v>2.5580237704461</v>
      </c>
      <c r="D11" s="64">
        <v>8.71001372260871</v>
      </c>
      <c r="E11" s="64">
        <v>16.716879046722</v>
      </c>
      <c r="F11" s="64">
        <v>24.1338129862601</v>
      </c>
      <c r="G11" s="64">
        <v>31.9364449471906</v>
      </c>
      <c r="H11" s="64">
        <v>36.3655433118005</v>
      </c>
      <c r="I11" s="64">
        <v>40.9046697384341</v>
      </c>
      <c r="J11" s="65">
        <v>42.773578340628</v>
      </c>
    </row>
    <row r="12" spans="1:10">
      <c r="A12" s="26"/>
      <c r="B12" s="27">
        <v>5</v>
      </c>
      <c r="C12" s="64">
        <v>0.340526701941553</v>
      </c>
      <c r="D12" s="64">
        <v>1.12397715255803</v>
      </c>
      <c r="E12" s="64">
        <v>3.32763910343801</v>
      </c>
      <c r="F12" s="64">
        <v>5.60678952740786</v>
      </c>
      <c r="G12" s="64">
        <v>9.62393015827705</v>
      </c>
      <c r="H12" s="64">
        <v>14.0464234534702</v>
      </c>
      <c r="I12" s="64">
        <v>19.3014787083276</v>
      </c>
      <c r="J12" s="65">
        <v>20.541553432967</v>
      </c>
    </row>
    <row r="13" ht="14.6" spans="1:10">
      <c r="A13" s="29"/>
      <c r="B13" s="5">
        <v>6</v>
      </c>
      <c r="C13" s="66">
        <v>154.651845591379</v>
      </c>
      <c r="D13" s="66">
        <v>174.048954244543</v>
      </c>
      <c r="E13" s="66">
        <v>195.67154960968</v>
      </c>
      <c r="F13" s="66">
        <v>217.320972259924</v>
      </c>
      <c r="G13" s="66">
        <v>232.268686366257</v>
      </c>
      <c r="H13" s="66">
        <v>243.748068389723</v>
      </c>
      <c r="I13" s="66">
        <v>249.455693610541</v>
      </c>
      <c r="J13" s="67">
        <v>250.63092294627</v>
      </c>
    </row>
    <row r="14" spans="1:10">
      <c r="A14" s="23" t="s">
        <v>41</v>
      </c>
      <c r="B14" s="24">
        <v>1</v>
      </c>
      <c r="C14" s="62">
        <v>127.544852938588</v>
      </c>
      <c r="D14" s="62">
        <v>139.852387016438</v>
      </c>
      <c r="E14" s="62">
        <v>149.788582610405</v>
      </c>
      <c r="F14" s="62">
        <v>162.154222260225</v>
      </c>
      <c r="G14" s="62">
        <v>166.77217386289</v>
      </c>
      <c r="H14" s="62">
        <v>170.705809119943</v>
      </c>
      <c r="I14" s="62">
        <v>171.097214620924</v>
      </c>
      <c r="J14" s="63">
        <v>169.963148941284</v>
      </c>
    </row>
    <row r="15" spans="1:10">
      <c r="A15" s="26"/>
      <c r="B15" s="27">
        <v>2</v>
      </c>
      <c r="C15" s="64">
        <v>2.35190454844333</v>
      </c>
      <c r="D15" s="64">
        <v>2.42167906254366</v>
      </c>
      <c r="E15" s="64">
        <v>2.42572981407476</v>
      </c>
      <c r="F15" s="64">
        <v>2.40599806410155</v>
      </c>
      <c r="G15" s="64">
        <v>2.40607396241549</v>
      </c>
      <c r="H15" s="64">
        <v>2.42449866992878</v>
      </c>
      <c r="I15" s="64">
        <v>2.43904048494677</v>
      </c>
      <c r="J15" s="65">
        <v>2.43999794201404</v>
      </c>
    </row>
    <row r="16" spans="1:10">
      <c r="A16" s="26"/>
      <c r="B16" s="27">
        <v>3</v>
      </c>
      <c r="C16" s="64">
        <v>3.74408283510774</v>
      </c>
      <c r="D16" s="64">
        <v>5.45604221992792</v>
      </c>
      <c r="E16" s="64">
        <v>7.01618295960297</v>
      </c>
      <c r="F16" s="64">
        <v>8.28579774919864</v>
      </c>
      <c r="G16" s="64">
        <v>9.05346776593449</v>
      </c>
      <c r="H16" s="64">
        <v>8.14681009918563</v>
      </c>
      <c r="I16" s="64">
        <v>7.39747358669951</v>
      </c>
      <c r="J16" s="65">
        <v>6.30208129298421</v>
      </c>
    </row>
    <row r="17" spans="1:10">
      <c r="A17" s="26"/>
      <c r="B17" s="27">
        <v>4</v>
      </c>
      <c r="C17" s="64">
        <v>3.49276715974797</v>
      </c>
      <c r="D17" s="64">
        <v>10.5356613967426</v>
      </c>
      <c r="E17" s="64">
        <v>18.4221131968976</v>
      </c>
      <c r="F17" s="64">
        <v>23.4916089342274</v>
      </c>
      <c r="G17" s="64">
        <v>28.2535407805485</v>
      </c>
      <c r="H17" s="64">
        <v>28.6588793081689</v>
      </c>
      <c r="I17" s="64">
        <v>29.3870618500706</v>
      </c>
      <c r="J17" s="65">
        <v>27.1427755927289</v>
      </c>
    </row>
    <row r="18" spans="1:10">
      <c r="A18" s="26"/>
      <c r="B18" s="27">
        <v>5</v>
      </c>
      <c r="C18" s="64">
        <v>0.318425183618539</v>
      </c>
      <c r="D18" s="64">
        <v>1.08934871032556</v>
      </c>
      <c r="E18" s="64">
        <v>3.21951736883423</v>
      </c>
      <c r="F18" s="64">
        <v>5.26026069906278</v>
      </c>
      <c r="G18" s="64">
        <v>9.82394641373261</v>
      </c>
      <c r="H18" s="64">
        <v>14.0181097936774</v>
      </c>
      <c r="I18" s="64">
        <v>20.7397444130317</v>
      </c>
      <c r="J18" s="65">
        <v>21.6123671389694</v>
      </c>
    </row>
    <row r="19" ht="14.6" spans="1:10">
      <c r="A19" s="29"/>
      <c r="B19" s="5">
        <v>6</v>
      </c>
      <c r="C19" s="66">
        <v>135.404751415322</v>
      </c>
      <c r="D19" s="66">
        <v>157.762052115908</v>
      </c>
      <c r="E19" s="66">
        <v>175.183161777093</v>
      </c>
      <c r="F19" s="66">
        <v>197.910732460508</v>
      </c>
      <c r="G19" s="66">
        <v>210.988584003094</v>
      </c>
      <c r="H19" s="66">
        <v>217.643253829828</v>
      </c>
      <c r="I19" s="66">
        <v>220.041380794972</v>
      </c>
      <c r="J19" s="67">
        <v>219.469196856707</v>
      </c>
    </row>
    <row r="20" spans="1:10">
      <c r="A20" s="23" t="s">
        <v>53</v>
      </c>
      <c r="B20" s="24">
        <v>1</v>
      </c>
      <c r="C20" s="62">
        <v>60.83922528578</v>
      </c>
      <c r="D20" s="62">
        <v>66.9063335353064</v>
      </c>
      <c r="E20" s="62">
        <v>71.5125400902182</v>
      </c>
      <c r="F20" s="62">
        <v>77.7393688645088</v>
      </c>
      <c r="G20" s="62">
        <v>78.5769131075146</v>
      </c>
      <c r="H20" s="62">
        <v>80.604498079732</v>
      </c>
      <c r="I20" s="62">
        <v>81.3419330494358</v>
      </c>
      <c r="J20" s="63">
        <v>81.2042057466955</v>
      </c>
    </row>
    <row r="21" spans="1:10">
      <c r="A21" s="26"/>
      <c r="B21" s="27">
        <v>2</v>
      </c>
      <c r="C21" s="64">
        <v>1.29211191721012</v>
      </c>
      <c r="D21" s="64">
        <v>1.3024959676313</v>
      </c>
      <c r="E21" s="64">
        <v>1.30615984741181</v>
      </c>
      <c r="F21" s="64">
        <v>1.32035257037415</v>
      </c>
      <c r="G21" s="64">
        <v>1.3165822601395</v>
      </c>
      <c r="H21" s="64">
        <v>1.31254664430698</v>
      </c>
      <c r="I21" s="64">
        <v>1.29803270376007</v>
      </c>
      <c r="J21" s="65">
        <v>1.3208553074855</v>
      </c>
    </row>
    <row r="22" spans="1:10">
      <c r="A22" s="26"/>
      <c r="B22" s="27">
        <v>3</v>
      </c>
      <c r="C22" s="64">
        <v>0.207134244110171</v>
      </c>
      <c r="D22" s="64">
        <v>0.358885366081907</v>
      </c>
      <c r="E22" s="64">
        <v>0.530992304349543</v>
      </c>
      <c r="F22" s="64">
        <v>0.707811519181676</v>
      </c>
      <c r="G22" s="64">
        <v>0.880328847120506</v>
      </c>
      <c r="H22" s="64">
        <v>0.922055032566899</v>
      </c>
      <c r="I22" s="64">
        <v>0.9340072671874</v>
      </c>
      <c r="J22" s="65">
        <v>0.905386748295946</v>
      </c>
    </row>
    <row r="23" spans="1:10">
      <c r="A23" s="26"/>
      <c r="B23" s="27">
        <v>4</v>
      </c>
      <c r="C23" s="64">
        <v>1.07630700989741</v>
      </c>
      <c r="D23" s="64">
        <v>3.50405323703093</v>
      </c>
      <c r="E23" s="64">
        <v>6.61851811325395</v>
      </c>
      <c r="F23" s="64">
        <v>9.33668051088461</v>
      </c>
      <c r="G23" s="64">
        <v>12.2461538646522</v>
      </c>
      <c r="H23" s="64">
        <v>14.0096780300158</v>
      </c>
      <c r="I23" s="64">
        <v>15.0429800995099</v>
      </c>
      <c r="J23" s="65">
        <v>15.9514241611437</v>
      </c>
    </row>
    <row r="24" spans="1:10">
      <c r="A24" s="26"/>
      <c r="B24" s="27">
        <v>5</v>
      </c>
      <c r="C24" s="64">
        <v>0.332198452311396</v>
      </c>
      <c r="D24" s="64">
        <v>1.00375625329716</v>
      </c>
      <c r="E24" s="64">
        <v>2.74471639818976</v>
      </c>
      <c r="F24" s="64">
        <v>4.02453484954378</v>
      </c>
      <c r="G24" s="64">
        <v>6.45355357994098</v>
      </c>
      <c r="H24" s="64">
        <v>8.6849108928351</v>
      </c>
      <c r="I24" s="64">
        <v>10.8171848127696</v>
      </c>
      <c r="J24" s="65">
        <v>10.3063167939594</v>
      </c>
    </row>
    <row r="25" ht="14.6" spans="1:10">
      <c r="A25" s="29"/>
      <c r="B25" s="5">
        <v>6</v>
      </c>
      <c r="C25" s="66">
        <v>63.4860572771559</v>
      </c>
      <c r="D25" s="66">
        <v>72.3059776474637</v>
      </c>
      <c r="E25" s="66">
        <v>81.1460294361269</v>
      </c>
      <c r="F25" s="66">
        <v>91.4244273157363</v>
      </c>
      <c r="G25" s="66">
        <v>95.4704010498342</v>
      </c>
      <c r="H25" s="66">
        <v>100.922798504903</v>
      </c>
      <c r="I25" s="66">
        <v>104.170871257257</v>
      </c>
      <c r="J25" s="67">
        <v>105.153042824268</v>
      </c>
    </row>
    <row r="26" spans="1:10">
      <c r="A26" s="23" t="s">
        <v>62</v>
      </c>
      <c r="B26" s="24">
        <v>1</v>
      </c>
      <c r="C26" s="62">
        <v>54.4098903339422</v>
      </c>
      <c r="D26" s="62">
        <v>60.7208670977485</v>
      </c>
      <c r="E26" s="62">
        <v>64.0685993853648</v>
      </c>
      <c r="F26" s="62">
        <v>69.301193038417</v>
      </c>
      <c r="G26" s="62">
        <v>70.3793313003972</v>
      </c>
      <c r="H26" s="62">
        <v>72.1414120991282</v>
      </c>
      <c r="I26" s="62">
        <v>72.6782848653688</v>
      </c>
      <c r="J26" s="63">
        <v>71.7558134208197</v>
      </c>
    </row>
    <row r="27" spans="1:10">
      <c r="A27" s="26"/>
      <c r="B27" s="27">
        <v>2</v>
      </c>
      <c r="C27" s="64">
        <v>1.3309210264804</v>
      </c>
      <c r="D27" s="64">
        <v>1.3722093365865</v>
      </c>
      <c r="E27" s="64">
        <v>1.37803357959482</v>
      </c>
      <c r="F27" s="64">
        <v>1.36215788922362</v>
      </c>
      <c r="G27" s="64">
        <v>1.38613747815154</v>
      </c>
      <c r="H27" s="64">
        <v>1.35612554089173</v>
      </c>
      <c r="I27" s="64">
        <v>1.3833891134788</v>
      </c>
      <c r="J27" s="65">
        <v>1.35787303458457</v>
      </c>
    </row>
    <row r="28" spans="1:10">
      <c r="A28" s="26"/>
      <c r="B28" s="27">
        <v>3</v>
      </c>
      <c r="C28" s="64">
        <v>1.03747972960303</v>
      </c>
      <c r="D28" s="64">
        <v>1.60150079377757</v>
      </c>
      <c r="E28" s="64">
        <v>2.19493066167114</v>
      </c>
      <c r="F28" s="64">
        <v>2.72121177350588</v>
      </c>
      <c r="G28" s="64">
        <v>3.13106256752617</v>
      </c>
      <c r="H28" s="64">
        <v>3.07564918977969</v>
      </c>
      <c r="I28" s="64">
        <v>2.93860200685873</v>
      </c>
      <c r="J28" s="65">
        <v>2.70656239592143</v>
      </c>
    </row>
    <row r="29" spans="1:10">
      <c r="A29" s="26"/>
      <c r="B29" s="27">
        <v>4</v>
      </c>
      <c r="C29" s="64">
        <v>0.939586226955879</v>
      </c>
      <c r="D29" s="64">
        <v>3.19866318345749</v>
      </c>
      <c r="E29" s="64">
        <v>6.39853599781367</v>
      </c>
      <c r="F29" s="64">
        <v>9.6629644788503</v>
      </c>
      <c r="G29" s="64">
        <v>13.0910157349834</v>
      </c>
      <c r="H29" s="64">
        <v>15.3621238853992</v>
      </c>
      <c r="I29" s="64">
        <v>17.0973912218426</v>
      </c>
      <c r="J29" s="65">
        <v>18.8477540495736</v>
      </c>
    </row>
    <row r="30" spans="1:10">
      <c r="A30" s="26"/>
      <c r="B30" s="27">
        <v>5</v>
      </c>
      <c r="C30" s="64">
        <v>0.321288409605269</v>
      </c>
      <c r="D30" s="64">
        <v>1.01731973129033</v>
      </c>
      <c r="E30" s="64">
        <v>2.71945912182946</v>
      </c>
      <c r="F30" s="64">
        <v>4.04403477060746</v>
      </c>
      <c r="G30" s="64">
        <v>6.22735317023086</v>
      </c>
      <c r="H30" s="64">
        <v>8.03286283175531</v>
      </c>
      <c r="I30" s="64">
        <v>10.6824154003739</v>
      </c>
      <c r="J30" s="65">
        <v>10.0645501847635</v>
      </c>
    </row>
    <row r="31" ht="14.6" spans="1:10">
      <c r="A31" s="29"/>
      <c r="B31" s="5">
        <v>6</v>
      </c>
      <c r="C31" s="66">
        <v>56.9665050233238</v>
      </c>
      <c r="D31" s="66">
        <v>65.0004002397514</v>
      </c>
      <c r="E31" s="66">
        <v>71.3819992291612</v>
      </c>
      <c r="F31" s="66">
        <v>78.2448755802076</v>
      </c>
      <c r="G31" s="66">
        <v>83.7325922693465</v>
      </c>
      <c r="H31" s="66">
        <v>88.0731788580491</v>
      </c>
      <c r="I31" s="66">
        <v>92.526805091125</v>
      </c>
      <c r="J31" s="67">
        <v>92.5920879929024</v>
      </c>
    </row>
    <row r="32" spans="1:10">
      <c r="A32" s="23" t="s">
        <v>67</v>
      </c>
      <c r="B32" s="24">
        <v>1</v>
      </c>
      <c r="C32" s="24">
        <v>0</v>
      </c>
      <c r="D32" s="24">
        <v>0</v>
      </c>
      <c r="E32" s="24">
        <v>0</v>
      </c>
      <c r="F32" s="24">
        <v>0</v>
      </c>
      <c r="G32" s="24">
        <v>0</v>
      </c>
      <c r="H32" s="24">
        <v>0</v>
      </c>
      <c r="I32" s="24">
        <v>0</v>
      </c>
      <c r="J32" s="25">
        <v>0</v>
      </c>
    </row>
    <row r="33" spans="1:10">
      <c r="A33" s="26"/>
      <c r="B33" s="27">
        <v>2</v>
      </c>
      <c r="C33" s="27">
        <v>0</v>
      </c>
      <c r="D33" s="27">
        <v>0</v>
      </c>
      <c r="E33" s="27">
        <v>0</v>
      </c>
      <c r="F33" s="27">
        <v>0</v>
      </c>
      <c r="G33" s="27">
        <v>0</v>
      </c>
      <c r="H33" s="27">
        <v>0</v>
      </c>
      <c r="I33" s="27">
        <v>0</v>
      </c>
      <c r="J33" s="28">
        <v>0</v>
      </c>
    </row>
    <row r="34" spans="1:10">
      <c r="A34" s="26"/>
      <c r="B34" s="27">
        <v>3</v>
      </c>
      <c r="C34" s="27">
        <v>0</v>
      </c>
      <c r="D34" s="27">
        <v>0</v>
      </c>
      <c r="E34" s="27">
        <v>0</v>
      </c>
      <c r="F34" s="27">
        <v>0</v>
      </c>
      <c r="G34" s="27">
        <v>0</v>
      </c>
      <c r="H34" s="27">
        <v>0</v>
      </c>
      <c r="I34" s="27">
        <v>0</v>
      </c>
      <c r="J34" s="28">
        <v>0</v>
      </c>
    </row>
    <row r="35" spans="1:10">
      <c r="A35" s="26"/>
      <c r="B35" s="27">
        <v>4</v>
      </c>
      <c r="C35" s="27">
        <v>0</v>
      </c>
      <c r="D35" s="27">
        <v>0</v>
      </c>
      <c r="E35" s="27">
        <v>0</v>
      </c>
      <c r="F35" s="27">
        <v>0</v>
      </c>
      <c r="G35" s="27">
        <v>0</v>
      </c>
      <c r="H35" s="27">
        <v>0</v>
      </c>
      <c r="I35" s="27">
        <v>0</v>
      </c>
      <c r="J35" s="28">
        <v>0</v>
      </c>
    </row>
    <row r="36" spans="1:10">
      <c r="A36" s="26"/>
      <c r="B36" s="27">
        <v>5</v>
      </c>
      <c r="C36" s="27">
        <v>0</v>
      </c>
      <c r="D36" s="27">
        <v>0</v>
      </c>
      <c r="E36" s="27">
        <v>0</v>
      </c>
      <c r="F36" s="27">
        <v>0</v>
      </c>
      <c r="G36" s="27">
        <v>0</v>
      </c>
      <c r="H36" s="27">
        <v>0</v>
      </c>
      <c r="I36" s="27">
        <v>0</v>
      </c>
      <c r="J36" s="28">
        <v>0</v>
      </c>
    </row>
    <row r="37" ht="14.6" spans="1:10">
      <c r="A37" s="29"/>
      <c r="B37" s="5">
        <v>6</v>
      </c>
      <c r="C37" s="5">
        <v>0</v>
      </c>
      <c r="D37" s="5">
        <v>0</v>
      </c>
      <c r="E37" s="5">
        <v>0</v>
      </c>
      <c r="F37" s="5">
        <v>0</v>
      </c>
      <c r="G37" s="5">
        <v>0</v>
      </c>
      <c r="H37" s="5">
        <v>0</v>
      </c>
      <c r="I37" s="5">
        <v>0</v>
      </c>
      <c r="J37" s="6">
        <v>0</v>
      </c>
    </row>
    <row r="38" spans="1:10">
      <c r="A38" s="23" t="s">
        <v>69</v>
      </c>
      <c r="B38" s="24">
        <v>1</v>
      </c>
      <c r="C38" s="24">
        <v>0</v>
      </c>
      <c r="D38" s="24">
        <v>0</v>
      </c>
      <c r="E38" s="24">
        <v>0</v>
      </c>
      <c r="F38" s="24">
        <v>0</v>
      </c>
      <c r="G38" s="24">
        <v>0</v>
      </c>
      <c r="H38" s="24">
        <v>0</v>
      </c>
      <c r="I38" s="24">
        <v>0</v>
      </c>
      <c r="J38" s="25">
        <v>0</v>
      </c>
    </row>
    <row r="39" spans="1:10">
      <c r="A39" s="26"/>
      <c r="B39" s="27">
        <v>2</v>
      </c>
      <c r="C39" s="27">
        <v>0</v>
      </c>
      <c r="D39" s="27">
        <v>0</v>
      </c>
      <c r="E39" s="27">
        <v>0</v>
      </c>
      <c r="F39" s="27">
        <v>0</v>
      </c>
      <c r="G39" s="27">
        <v>0</v>
      </c>
      <c r="H39" s="27">
        <v>0</v>
      </c>
      <c r="I39" s="27">
        <v>0</v>
      </c>
      <c r="J39" s="28">
        <v>0</v>
      </c>
    </row>
    <row r="40" spans="1:10">
      <c r="A40" s="26"/>
      <c r="B40" s="27">
        <v>3</v>
      </c>
      <c r="C40" s="27">
        <v>0</v>
      </c>
      <c r="D40" s="27">
        <v>0</v>
      </c>
      <c r="E40" s="27">
        <v>0</v>
      </c>
      <c r="F40" s="27">
        <v>0</v>
      </c>
      <c r="G40" s="27">
        <v>0</v>
      </c>
      <c r="H40" s="27">
        <v>0</v>
      </c>
      <c r="I40" s="27">
        <v>0</v>
      </c>
      <c r="J40" s="28">
        <v>0</v>
      </c>
    </row>
    <row r="41" spans="1:10">
      <c r="A41" s="26"/>
      <c r="B41" s="27">
        <v>4</v>
      </c>
      <c r="C41" s="27">
        <v>0</v>
      </c>
      <c r="D41" s="27">
        <v>0</v>
      </c>
      <c r="E41" s="27">
        <v>0</v>
      </c>
      <c r="F41" s="27">
        <v>0</v>
      </c>
      <c r="G41" s="27">
        <v>0</v>
      </c>
      <c r="H41" s="27">
        <v>0</v>
      </c>
      <c r="I41" s="27">
        <v>0</v>
      </c>
      <c r="J41" s="28">
        <v>0</v>
      </c>
    </row>
    <row r="42" spans="1:10">
      <c r="A42" s="26"/>
      <c r="B42" s="27">
        <v>5</v>
      </c>
      <c r="C42" s="27">
        <v>0</v>
      </c>
      <c r="D42" s="27">
        <v>0</v>
      </c>
      <c r="E42" s="27">
        <v>0</v>
      </c>
      <c r="F42" s="27">
        <v>0</v>
      </c>
      <c r="G42" s="27">
        <v>0</v>
      </c>
      <c r="H42" s="27">
        <v>0</v>
      </c>
      <c r="I42" s="27">
        <v>0</v>
      </c>
      <c r="J42" s="28">
        <v>0</v>
      </c>
    </row>
    <row r="43" ht="14.6" spans="1:10">
      <c r="A43" s="29"/>
      <c r="B43" s="5">
        <v>6</v>
      </c>
      <c r="C43" s="5">
        <v>0</v>
      </c>
      <c r="D43" s="5">
        <v>0</v>
      </c>
      <c r="E43" s="5">
        <v>0</v>
      </c>
      <c r="F43" s="5">
        <v>0</v>
      </c>
      <c r="G43" s="5">
        <v>0</v>
      </c>
      <c r="H43" s="5">
        <v>0</v>
      </c>
      <c r="I43" s="5">
        <v>0</v>
      </c>
      <c r="J43" s="6">
        <v>0</v>
      </c>
    </row>
    <row r="44" spans="1:10">
      <c r="A44" s="23" t="s">
        <v>71</v>
      </c>
      <c r="B44" s="24">
        <v>1</v>
      </c>
      <c r="C44" s="24">
        <v>0</v>
      </c>
      <c r="D44" s="24">
        <v>0</v>
      </c>
      <c r="E44" s="24">
        <v>0</v>
      </c>
      <c r="F44" s="24">
        <v>0</v>
      </c>
      <c r="G44" s="24">
        <v>0</v>
      </c>
      <c r="H44" s="24">
        <v>0</v>
      </c>
      <c r="I44" s="24">
        <v>0</v>
      </c>
      <c r="J44" s="25">
        <v>0</v>
      </c>
    </row>
    <row r="45" spans="1:10">
      <c r="A45" s="26"/>
      <c r="B45" s="27">
        <v>2</v>
      </c>
      <c r="C45" s="27">
        <v>0</v>
      </c>
      <c r="D45" s="27">
        <v>0</v>
      </c>
      <c r="E45" s="27">
        <v>0</v>
      </c>
      <c r="F45" s="27">
        <v>0</v>
      </c>
      <c r="G45" s="27">
        <v>0</v>
      </c>
      <c r="H45" s="27">
        <v>0</v>
      </c>
      <c r="I45" s="27">
        <v>0</v>
      </c>
      <c r="J45" s="28">
        <v>0</v>
      </c>
    </row>
    <row r="46" spans="1:10">
      <c r="A46" s="26"/>
      <c r="B46" s="27">
        <v>3</v>
      </c>
      <c r="C46" s="27">
        <v>0</v>
      </c>
      <c r="D46" s="27">
        <v>0</v>
      </c>
      <c r="E46" s="27">
        <v>0</v>
      </c>
      <c r="F46" s="27">
        <v>0</v>
      </c>
      <c r="G46" s="27">
        <v>0</v>
      </c>
      <c r="H46" s="27">
        <v>0</v>
      </c>
      <c r="I46" s="27">
        <v>0</v>
      </c>
      <c r="J46" s="28">
        <v>0</v>
      </c>
    </row>
    <row r="47" spans="1:10">
      <c r="A47" s="26"/>
      <c r="B47" s="27">
        <v>4</v>
      </c>
      <c r="C47" s="27">
        <v>0</v>
      </c>
      <c r="D47" s="27">
        <v>0</v>
      </c>
      <c r="E47" s="27">
        <v>0</v>
      </c>
      <c r="F47" s="27">
        <v>0</v>
      </c>
      <c r="G47" s="27">
        <v>0</v>
      </c>
      <c r="H47" s="27">
        <v>0</v>
      </c>
      <c r="I47" s="27">
        <v>0</v>
      </c>
      <c r="J47" s="28">
        <v>0</v>
      </c>
    </row>
    <row r="48" spans="1:10">
      <c r="A48" s="26"/>
      <c r="B48" s="27">
        <v>5</v>
      </c>
      <c r="C48" s="27">
        <v>0</v>
      </c>
      <c r="D48" s="27">
        <v>0</v>
      </c>
      <c r="E48" s="27">
        <v>0</v>
      </c>
      <c r="F48" s="27">
        <v>0</v>
      </c>
      <c r="G48" s="27">
        <v>0</v>
      </c>
      <c r="H48" s="27">
        <v>0</v>
      </c>
      <c r="I48" s="27">
        <v>0</v>
      </c>
      <c r="J48" s="28">
        <v>0</v>
      </c>
    </row>
    <row r="49" ht="14.6" spans="1:10">
      <c r="A49" s="29"/>
      <c r="B49" s="5">
        <v>6</v>
      </c>
      <c r="C49" s="5">
        <v>0</v>
      </c>
      <c r="D49" s="5">
        <v>0</v>
      </c>
      <c r="E49" s="5">
        <v>0</v>
      </c>
      <c r="F49" s="5">
        <v>0</v>
      </c>
      <c r="G49" s="5">
        <v>0</v>
      </c>
      <c r="H49" s="5">
        <v>0</v>
      </c>
      <c r="I49" s="5">
        <v>0</v>
      </c>
      <c r="J49" s="6">
        <v>0</v>
      </c>
    </row>
  </sheetData>
  <mergeCells count="8">
    <mergeCell ref="A2:A7"/>
    <mergeCell ref="A8:A13"/>
    <mergeCell ref="A14:A19"/>
    <mergeCell ref="A20:A25"/>
    <mergeCell ref="A26:A31"/>
    <mergeCell ref="A32:A37"/>
    <mergeCell ref="A38:A43"/>
    <mergeCell ref="A44:A49"/>
  </mergeCells>
  <pageMargins left="0.7" right="0.7" top="0.75" bottom="0.75" header="0.3" footer="0.3"/>
  <pageSetup paperSize="9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9"/>
  <sheetViews>
    <sheetView zoomScale="115" zoomScaleNormal="115" workbookViewId="0">
      <pane ySplit="1" topLeftCell="A2" activePane="bottomLeft" state="frozen"/>
      <selection/>
      <selection pane="bottomLeft" activeCell="G30" sqref="G30"/>
    </sheetView>
  </sheetViews>
  <sheetFormatPr defaultColWidth="9" defaultRowHeight="13.85"/>
  <cols>
    <col min="1" max="1" width="7.10619469026549" customWidth="1"/>
    <col min="2" max="2" width="9.33628318584071" customWidth="1"/>
    <col min="3" max="10" width="13.8849557522124" customWidth="1"/>
  </cols>
  <sheetData>
    <row r="1" ht="14.65" spans="1:10">
      <c r="A1" s="4" t="s">
        <v>19</v>
      </c>
      <c r="B1" s="2" t="s">
        <v>287</v>
      </c>
      <c r="C1" s="2" t="s">
        <v>296</v>
      </c>
      <c r="D1" s="2" t="s">
        <v>297</v>
      </c>
      <c r="E1" s="2" t="s">
        <v>298</v>
      </c>
      <c r="F1" s="2" t="s">
        <v>299</v>
      </c>
      <c r="G1" s="2" t="s">
        <v>300</v>
      </c>
      <c r="H1" s="2" t="s">
        <v>301</v>
      </c>
      <c r="I1" s="2" t="s">
        <v>302</v>
      </c>
      <c r="J1" s="3" t="s">
        <v>303</v>
      </c>
    </row>
    <row r="2" spans="1:10">
      <c r="A2" s="23" t="s">
        <v>22</v>
      </c>
      <c r="B2" s="24">
        <v>1</v>
      </c>
      <c r="C2" s="62">
        <v>123.141010429183</v>
      </c>
      <c r="D2" s="62">
        <v>134.479924851101</v>
      </c>
      <c r="E2" s="62">
        <v>142.604650542572</v>
      </c>
      <c r="F2" s="62">
        <v>153.17433813969</v>
      </c>
      <c r="G2" s="62">
        <v>153.981555892366</v>
      </c>
      <c r="H2" s="62">
        <v>156.233958904301</v>
      </c>
      <c r="I2" s="62">
        <v>155.918889401269</v>
      </c>
      <c r="J2" s="63">
        <v>155.516514126838</v>
      </c>
    </row>
    <row r="3" spans="1:10">
      <c r="A3" s="26"/>
      <c r="B3" s="27">
        <v>2</v>
      </c>
      <c r="C3" s="64">
        <v>4.34759975111996</v>
      </c>
      <c r="D3" s="64">
        <v>4.4153350257176</v>
      </c>
      <c r="E3" s="64">
        <v>4.42690650406504</v>
      </c>
      <c r="F3" s="64">
        <v>4.42690650406504</v>
      </c>
      <c r="G3" s="64">
        <v>4.42690650406504</v>
      </c>
      <c r="H3" s="64">
        <v>4.42690650406504</v>
      </c>
      <c r="I3" s="64">
        <v>4.42690650406504</v>
      </c>
      <c r="J3" s="65">
        <v>4.42690650406504</v>
      </c>
    </row>
    <row r="4" spans="1:10">
      <c r="A4" s="26"/>
      <c r="B4" s="27">
        <v>3</v>
      </c>
      <c r="C4" s="64">
        <v>49.3521719062792</v>
      </c>
      <c r="D4" s="64">
        <v>71.804778887076</v>
      </c>
      <c r="E4" s="64">
        <v>93.007660621663</v>
      </c>
      <c r="F4" s="64">
        <v>107.246457980778</v>
      </c>
      <c r="G4" s="64">
        <v>115.938373021515</v>
      </c>
      <c r="H4" s="64">
        <v>105.49387651965</v>
      </c>
      <c r="I4" s="64">
        <v>92.7793444462451</v>
      </c>
      <c r="J4" s="65">
        <v>79.4059155869628</v>
      </c>
    </row>
    <row r="5" spans="1:10">
      <c r="A5" s="26"/>
      <c r="B5" s="27">
        <v>4</v>
      </c>
      <c r="C5" s="64">
        <v>11.5579464767306</v>
      </c>
      <c r="D5" s="64">
        <v>33.9807315882236</v>
      </c>
      <c r="E5" s="64">
        <v>57.721344911625</v>
      </c>
      <c r="F5" s="64">
        <v>73.0134437190114</v>
      </c>
      <c r="G5" s="64">
        <v>84.858446585866</v>
      </c>
      <c r="H5" s="64">
        <v>82.30432272651</v>
      </c>
      <c r="I5" s="64">
        <v>78.2854396534412</v>
      </c>
      <c r="J5" s="65">
        <v>70.0813109377261</v>
      </c>
    </row>
    <row r="6" spans="1:10">
      <c r="A6" s="26"/>
      <c r="B6" s="27">
        <v>5</v>
      </c>
      <c r="C6" s="64">
        <v>2.08300698653906</v>
      </c>
      <c r="D6" s="64">
        <v>6.38799045263887</v>
      </c>
      <c r="E6" s="64">
        <v>17.075360338621</v>
      </c>
      <c r="F6" s="64">
        <v>25.5463167724747</v>
      </c>
      <c r="G6" s="64">
        <v>41.1234203919073</v>
      </c>
      <c r="H6" s="64">
        <v>52.8884928921164</v>
      </c>
      <c r="I6" s="64">
        <v>67.6718801885176</v>
      </c>
      <c r="J6" s="65">
        <v>65.5886468464655</v>
      </c>
    </row>
    <row r="7" ht="14.6" spans="1:10">
      <c r="A7" s="29"/>
      <c r="B7" s="5">
        <v>6</v>
      </c>
      <c r="C7" s="66">
        <v>190.481735549852</v>
      </c>
      <c r="D7" s="66">
        <v>251.068760804758</v>
      </c>
      <c r="E7" s="66">
        <v>314.835922918547</v>
      </c>
      <c r="F7" s="66">
        <v>363.40746311602</v>
      </c>
      <c r="G7" s="66">
        <v>400.328702395719</v>
      </c>
      <c r="H7" s="66">
        <v>401.347557546642</v>
      </c>
      <c r="I7" s="66">
        <v>399.082460193537</v>
      </c>
      <c r="J7" s="67">
        <v>375.019294002057</v>
      </c>
    </row>
    <row r="8" spans="1:10">
      <c r="A8" s="23" t="s">
        <v>27</v>
      </c>
      <c r="B8" s="24">
        <v>1</v>
      </c>
      <c r="C8" s="62">
        <v>837.198010550845</v>
      </c>
      <c r="D8" s="62">
        <v>914.287816479435</v>
      </c>
      <c r="E8" s="62">
        <v>969.52533776876</v>
      </c>
      <c r="F8" s="62">
        <v>1041.38540613761</v>
      </c>
      <c r="G8" s="62">
        <v>1046.87343237896</v>
      </c>
      <c r="H8" s="62">
        <v>1062.18683052291</v>
      </c>
      <c r="I8" s="62">
        <v>1060.04476948082</v>
      </c>
      <c r="J8" s="63">
        <v>1057.30914324165</v>
      </c>
    </row>
    <row r="9" spans="1:10">
      <c r="A9" s="26"/>
      <c r="B9" s="27">
        <v>2</v>
      </c>
      <c r="C9" s="64">
        <v>17.0105116475859</v>
      </c>
      <c r="D9" s="64">
        <v>17.2755341297495</v>
      </c>
      <c r="E9" s="64">
        <v>17.3208089430894</v>
      </c>
      <c r="F9" s="64">
        <v>17.3208089430894</v>
      </c>
      <c r="G9" s="64">
        <v>17.3208089430894</v>
      </c>
      <c r="H9" s="64">
        <v>17.3208089430894</v>
      </c>
      <c r="I9" s="64">
        <v>17.3208089430894</v>
      </c>
      <c r="J9" s="65">
        <v>17.3208089430894</v>
      </c>
    </row>
    <row r="10" spans="1:10">
      <c r="A10" s="26"/>
      <c r="B10" s="27">
        <v>3</v>
      </c>
      <c r="C10" s="64">
        <v>24.6760859531396</v>
      </c>
      <c r="D10" s="64">
        <v>37.4954569746135</v>
      </c>
      <c r="E10" s="64">
        <v>50.8607324161036</v>
      </c>
      <c r="F10" s="64">
        <v>61.6037628875666</v>
      </c>
      <c r="G10" s="64">
        <v>70.1936083911892</v>
      </c>
      <c r="H10" s="64">
        <v>67.5810949276875</v>
      </c>
      <c r="I10" s="64">
        <v>63.1676968784898</v>
      </c>
      <c r="J10" s="65">
        <v>57.7497567905184</v>
      </c>
    </row>
    <row r="11" spans="1:10">
      <c r="A11" s="26"/>
      <c r="B11" s="27">
        <v>4</v>
      </c>
      <c r="C11" s="64">
        <v>11.3440933070039</v>
      </c>
      <c r="D11" s="64">
        <v>37.8983127926913</v>
      </c>
      <c r="E11" s="64">
        <v>73.4141911943759</v>
      </c>
      <c r="F11" s="64">
        <v>106.425631670009</v>
      </c>
      <c r="G11" s="64">
        <v>142.689783445525</v>
      </c>
      <c r="H11" s="64">
        <v>161.038733489829</v>
      </c>
      <c r="I11" s="64">
        <v>180.279016444985</v>
      </c>
      <c r="J11" s="65">
        <v>192.849790612451</v>
      </c>
    </row>
    <row r="12" spans="1:10">
      <c r="A12" s="26"/>
      <c r="B12" s="27">
        <v>5</v>
      </c>
      <c r="C12" s="64">
        <v>2.17149542511239</v>
      </c>
      <c r="D12" s="64">
        <v>7.30985716751867</v>
      </c>
      <c r="E12" s="64">
        <v>21.4093792305023</v>
      </c>
      <c r="F12" s="64">
        <v>35.0468979465305</v>
      </c>
      <c r="G12" s="64">
        <v>61.6686075672379</v>
      </c>
      <c r="H12" s="64">
        <v>86.6392340616936</v>
      </c>
      <c r="I12" s="64">
        <v>121.064497405853</v>
      </c>
      <c r="J12" s="65">
        <v>128.149788761925</v>
      </c>
    </row>
    <row r="13" ht="14.6" spans="1:10">
      <c r="A13" s="29"/>
      <c r="B13" s="5">
        <v>6</v>
      </c>
      <c r="C13" s="66">
        <v>892.400196883687</v>
      </c>
      <c r="D13" s="66">
        <v>1014.26697754401</v>
      </c>
      <c r="E13" s="66">
        <v>1132.53044955283</v>
      </c>
      <c r="F13" s="66">
        <v>1261.78250758481</v>
      </c>
      <c r="G13" s="66">
        <v>1338.746240726</v>
      </c>
      <c r="H13" s="66">
        <v>1394.76670194521</v>
      </c>
      <c r="I13" s="66">
        <v>1441.87678915324</v>
      </c>
      <c r="J13" s="67">
        <v>1453.37928834964</v>
      </c>
    </row>
    <row r="14" spans="1:10">
      <c r="A14" s="23" t="s">
        <v>41</v>
      </c>
      <c r="B14" s="24">
        <v>1</v>
      </c>
      <c r="C14" s="62">
        <v>656.429948029071</v>
      </c>
      <c r="D14" s="62">
        <v>716.874498376222</v>
      </c>
      <c r="E14" s="62">
        <v>760.185116380855</v>
      </c>
      <c r="F14" s="62">
        <v>816.529135776809</v>
      </c>
      <c r="G14" s="62">
        <v>820.832185634774</v>
      </c>
      <c r="H14" s="62">
        <v>832.8391099479</v>
      </c>
      <c r="I14" s="62">
        <v>831.159563411941</v>
      </c>
      <c r="J14" s="63">
        <v>829.014614466321</v>
      </c>
    </row>
    <row r="15" spans="1:10">
      <c r="A15" s="26"/>
      <c r="B15" s="27">
        <v>2</v>
      </c>
      <c r="C15" s="64">
        <v>16.335156346441</v>
      </c>
      <c r="D15" s="64">
        <v>16.5896568442011</v>
      </c>
      <c r="E15" s="64">
        <v>16.6331341463415</v>
      </c>
      <c r="F15" s="64">
        <v>16.6331341463415</v>
      </c>
      <c r="G15" s="64">
        <v>16.6331341463415</v>
      </c>
      <c r="H15" s="64">
        <v>16.6331341463415</v>
      </c>
      <c r="I15" s="64">
        <v>16.6331341463415</v>
      </c>
      <c r="J15" s="65">
        <v>16.6331341463415</v>
      </c>
    </row>
    <row r="16" spans="1:10">
      <c r="A16" s="26"/>
      <c r="B16" s="27">
        <v>3</v>
      </c>
      <c r="C16" s="64">
        <v>27.760596697282</v>
      </c>
      <c r="D16" s="64">
        <v>40.9079350715798</v>
      </c>
      <c r="E16" s="64">
        <v>53.7328022838989</v>
      </c>
      <c r="F16" s="64">
        <v>62.9198061307705</v>
      </c>
      <c r="G16" s="64">
        <v>69.1882719357426</v>
      </c>
      <c r="H16" s="64">
        <v>64.1614064593585</v>
      </c>
      <c r="I16" s="64">
        <v>57.6412392640072</v>
      </c>
      <c r="J16" s="65">
        <v>50.5310371917036</v>
      </c>
    </row>
    <row r="17" spans="1:10">
      <c r="A17" s="26"/>
      <c r="B17" s="27">
        <v>4</v>
      </c>
      <c r="C17" s="64">
        <v>15.5073880192681</v>
      </c>
      <c r="D17" s="64">
        <v>46.6161929872265</v>
      </c>
      <c r="E17" s="64">
        <v>81.2202678010764</v>
      </c>
      <c r="F17" s="64">
        <v>105.792493541066</v>
      </c>
      <c r="G17" s="64">
        <v>127.23437085838</v>
      </c>
      <c r="H17" s="64">
        <v>128.504885619313</v>
      </c>
      <c r="I17" s="64">
        <v>128.334685135765</v>
      </c>
      <c r="J17" s="65">
        <v>121.972129677193</v>
      </c>
    </row>
    <row r="18" spans="1:10">
      <c r="A18" s="26"/>
      <c r="B18" s="27">
        <v>5</v>
      </c>
      <c r="C18" s="64">
        <v>2.02473852596521</v>
      </c>
      <c r="D18" s="64">
        <v>6.95639702041143</v>
      </c>
      <c r="E18" s="64">
        <v>20.7422432836565</v>
      </c>
      <c r="F18" s="64">
        <v>34.4967616562469</v>
      </c>
      <c r="G18" s="64">
        <v>61.5628952616849</v>
      </c>
      <c r="H18" s="64">
        <v>87.5914780576584</v>
      </c>
      <c r="I18" s="64">
        <v>123.798822750029</v>
      </c>
      <c r="J18" s="65">
        <v>132.405592242205</v>
      </c>
    </row>
    <row r="19" ht="14.6" spans="1:10">
      <c r="A19" s="29"/>
      <c r="B19" s="5">
        <v>6</v>
      </c>
      <c r="C19" s="66">
        <v>718.057827618028</v>
      </c>
      <c r="D19" s="66">
        <v>827.944680299641</v>
      </c>
      <c r="E19" s="66">
        <v>932.513563895828</v>
      </c>
      <c r="F19" s="66">
        <v>1036.37133125123</v>
      </c>
      <c r="G19" s="66">
        <v>1095.45085783692</v>
      </c>
      <c r="H19" s="66">
        <v>1129.73001423057</v>
      </c>
      <c r="I19" s="66">
        <v>1157.56744470808</v>
      </c>
      <c r="J19" s="67">
        <v>1150.55650772376</v>
      </c>
    </row>
    <row r="20" spans="1:10">
      <c r="A20" s="23" t="s">
        <v>53</v>
      </c>
      <c r="B20" s="24">
        <v>1</v>
      </c>
      <c r="C20" s="62">
        <v>338.765610615834</v>
      </c>
      <c r="D20" s="62">
        <v>369.959396134354</v>
      </c>
      <c r="E20" s="62">
        <v>392.310826014331</v>
      </c>
      <c r="F20" s="62">
        <v>421.388439234951</v>
      </c>
      <c r="G20" s="62">
        <v>423.609126022658</v>
      </c>
      <c r="H20" s="62">
        <v>429.805572511377</v>
      </c>
      <c r="I20" s="62">
        <v>428.9388043063</v>
      </c>
      <c r="J20" s="63">
        <v>427.831854598285</v>
      </c>
    </row>
    <row r="21" spans="1:10">
      <c r="A21" s="26"/>
      <c r="B21" s="27">
        <v>2</v>
      </c>
      <c r="C21" s="64">
        <v>8.86403832752613</v>
      </c>
      <c r="D21" s="64">
        <v>9.0021393728223</v>
      </c>
      <c r="E21" s="64">
        <v>9.02573170731707</v>
      </c>
      <c r="F21" s="64">
        <v>9.02573170731707</v>
      </c>
      <c r="G21" s="64">
        <v>9.02573170731707</v>
      </c>
      <c r="H21" s="64">
        <v>9.02573170731707</v>
      </c>
      <c r="I21" s="64">
        <v>9.02573170731707</v>
      </c>
      <c r="J21" s="65">
        <v>9.02573170731707</v>
      </c>
    </row>
    <row r="22" spans="1:10">
      <c r="A22" s="26"/>
      <c r="B22" s="27">
        <v>3</v>
      </c>
      <c r="C22" s="64">
        <v>1.54225537207122</v>
      </c>
      <c r="D22" s="64">
        <v>2.66207956712845</v>
      </c>
      <c r="E22" s="64">
        <v>4.05017619706088</v>
      </c>
      <c r="F22" s="64">
        <v>5.4463419599084</v>
      </c>
      <c r="G22" s="64">
        <v>6.83198490053567</v>
      </c>
      <c r="H22" s="64">
        <v>7.19064976655295</v>
      </c>
      <c r="I22" s="64">
        <v>7.30358598597906</v>
      </c>
      <c r="J22" s="65">
        <v>7.21871959881479</v>
      </c>
    </row>
    <row r="23" spans="1:10">
      <c r="A23" s="26"/>
      <c r="B23" s="27">
        <v>4</v>
      </c>
      <c r="C23" s="64">
        <v>4.7500942878797</v>
      </c>
      <c r="D23" s="64">
        <v>15.5006456429784</v>
      </c>
      <c r="E23" s="64">
        <v>29.3822298139622</v>
      </c>
      <c r="F23" s="64">
        <v>41.7460673929211</v>
      </c>
      <c r="G23" s="64">
        <v>54.9340925304621</v>
      </c>
      <c r="H23" s="64">
        <v>60.9270650909874</v>
      </c>
      <c r="I23" s="64">
        <v>67.104511655937</v>
      </c>
      <c r="J23" s="65">
        <v>70.6968577824879</v>
      </c>
    </row>
    <row r="24" spans="1:10">
      <c r="A24" s="26"/>
      <c r="B24" s="27">
        <v>5</v>
      </c>
      <c r="C24" s="64">
        <v>2.08409273425162</v>
      </c>
      <c r="D24" s="64">
        <v>6.39132013231186</v>
      </c>
      <c r="E24" s="64">
        <v>17.0842607088783</v>
      </c>
      <c r="F24" s="64">
        <v>25.559632548744</v>
      </c>
      <c r="G24" s="64">
        <v>41.1448555862738</v>
      </c>
      <c r="H24" s="64">
        <v>52.9160605193732</v>
      </c>
      <c r="I24" s="64">
        <v>67.7071535167369</v>
      </c>
      <c r="J24" s="65">
        <v>65.6228343089866</v>
      </c>
    </row>
    <row r="25" ht="14.6" spans="1:10">
      <c r="A25" s="29"/>
      <c r="B25" s="5">
        <v>6</v>
      </c>
      <c r="C25" s="66">
        <v>356.006091337563</v>
      </c>
      <c r="D25" s="66">
        <v>403.515580849595</v>
      </c>
      <c r="E25" s="66">
        <v>451.853224441549</v>
      </c>
      <c r="F25" s="66">
        <v>503.166212843841</v>
      </c>
      <c r="G25" s="66">
        <v>535.545790747247</v>
      </c>
      <c r="H25" s="66">
        <v>559.865079595608</v>
      </c>
      <c r="I25" s="66">
        <v>580.07978717227</v>
      </c>
      <c r="J25" s="67">
        <v>580.395997995892</v>
      </c>
    </row>
    <row r="26" spans="1:10">
      <c r="A26" s="23" t="s">
        <v>62</v>
      </c>
      <c r="B26" s="24">
        <v>1</v>
      </c>
      <c r="C26" s="62">
        <v>328.024620124559</v>
      </c>
      <c r="D26" s="62">
        <v>358.229367372541</v>
      </c>
      <c r="E26" s="62">
        <v>379.872117007876</v>
      </c>
      <c r="F26" s="62">
        <v>408.027787866802</v>
      </c>
      <c r="G26" s="62">
        <v>410.17806498209</v>
      </c>
      <c r="H26" s="62">
        <v>416.178045328055</v>
      </c>
      <c r="I26" s="62">
        <v>415.338759100951</v>
      </c>
      <c r="J26" s="63">
        <v>414.266906628061</v>
      </c>
    </row>
    <row r="27" spans="1:10">
      <c r="A27" s="26"/>
      <c r="B27" s="27">
        <v>2</v>
      </c>
      <c r="C27" s="64">
        <v>9.28613539074166</v>
      </c>
      <c r="D27" s="64">
        <v>9.43081267629003</v>
      </c>
      <c r="E27" s="64">
        <v>9.45552845528455</v>
      </c>
      <c r="F27" s="64">
        <v>9.45552845528455</v>
      </c>
      <c r="G27" s="64">
        <v>9.45552845528455</v>
      </c>
      <c r="H27" s="64">
        <v>9.45552845528455</v>
      </c>
      <c r="I27" s="64">
        <v>9.45552845528455</v>
      </c>
      <c r="J27" s="65">
        <v>9.45552845528455</v>
      </c>
    </row>
    <row r="28" spans="1:10">
      <c r="A28" s="26"/>
      <c r="B28" s="27">
        <v>3</v>
      </c>
      <c r="C28" s="64">
        <v>7.71127686035612</v>
      </c>
      <c r="D28" s="64">
        <v>12.0359438107818</v>
      </c>
      <c r="E28" s="64">
        <v>16.7653593010868</v>
      </c>
      <c r="F28" s="64">
        <v>20.8472826818001</v>
      </c>
      <c r="G28" s="64">
        <v>24.380386998333</v>
      </c>
      <c r="H28" s="64">
        <v>24.0859234984748</v>
      </c>
      <c r="I28" s="64">
        <v>23.0955102056015</v>
      </c>
      <c r="J28" s="65">
        <v>21.6561587964444</v>
      </c>
    </row>
    <row r="29" spans="1:10">
      <c r="A29" s="26"/>
      <c r="B29" s="27">
        <v>4</v>
      </c>
      <c r="C29" s="64">
        <v>4.19163558274334</v>
      </c>
      <c r="D29" s="64">
        <v>14.4466787778783</v>
      </c>
      <c r="E29" s="64">
        <v>28.7607162050951</v>
      </c>
      <c r="F29" s="64">
        <v>42.7136835321357</v>
      </c>
      <c r="G29" s="64">
        <v>58.5155520128316</v>
      </c>
      <c r="H29" s="64">
        <v>67.3289630072523</v>
      </c>
      <c r="I29" s="64">
        <v>76.6988023180138</v>
      </c>
      <c r="J29" s="65">
        <v>83.3544910010468</v>
      </c>
    </row>
    <row r="30" spans="1:10">
      <c r="A30" s="26"/>
      <c r="B30" s="27">
        <v>5</v>
      </c>
      <c r="C30" s="64">
        <v>2.07142567760513</v>
      </c>
      <c r="D30" s="64">
        <v>6.35247386946027</v>
      </c>
      <c r="E30" s="64">
        <v>16.9804230558765</v>
      </c>
      <c r="F30" s="64">
        <v>25.4042818256032</v>
      </c>
      <c r="G30" s="64">
        <v>40.8947783186659</v>
      </c>
      <c r="H30" s="64">
        <v>52.5944382013775</v>
      </c>
      <c r="I30" s="64">
        <v>67.2956313541796</v>
      </c>
      <c r="J30" s="65">
        <v>65.2239805795753</v>
      </c>
    </row>
    <row r="31" ht="14.6" spans="1:10">
      <c r="A31" s="29"/>
      <c r="B31" s="5">
        <v>6</v>
      </c>
      <c r="C31" s="66">
        <v>351.285093636005</v>
      </c>
      <c r="D31" s="66">
        <v>400.495276506951</v>
      </c>
      <c r="E31" s="66">
        <v>451.834144025219</v>
      </c>
      <c r="F31" s="66">
        <v>506.448564361626</v>
      </c>
      <c r="G31" s="66">
        <v>543.424310767205</v>
      </c>
      <c r="H31" s="66">
        <v>569.642898490444</v>
      </c>
      <c r="I31" s="66">
        <v>591.88423143403</v>
      </c>
      <c r="J31" s="67">
        <v>593.957065460412</v>
      </c>
    </row>
    <row r="32" spans="1:10">
      <c r="A32" s="23" t="s">
        <v>67</v>
      </c>
      <c r="B32" s="24">
        <v>1</v>
      </c>
      <c r="C32" s="24">
        <v>0</v>
      </c>
      <c r="D32" s="24">
        <v>0</v>
      </c>
      <c r="E32" s="24">
        <v>0</v>
      </c>
      <c r="F32" s="24">
        <v>0</v>
      </c>
      <c r="G32" s="24">
        <v>0</v>
      </c>
      <c r="H32" s="24">
        <v>0</v>
      </c>
      <c r="I32" s="24">
        <v>0</v>
      </c>
      <c r="J32" s="25">
        <v>0</v>
      </c>
    </row>
    <row r="33" spans="1:10">
      <c r="A33" s="26"/>
      <c r="B33" s="27">
        <v>2</v>
      </c>
      <c r="C33" s="27">
        <v>0</v>
      </c>
      <c r="D33" s="27">
        <v>0</v>
      </c>
      <c r="E33" s="27">
        <v>0</v>
      </c>
      <c r="F33" s="27">
        <v>0</v>
      </c>
      <c r="G33" s="27">
        <v>0</v>
      </c>
      <c r="H33" s="27">
        <v>0</v>
      </c>
      <c r="I33" s="27">
        <v>0</v>
      </c>
      <c r="J33" s="28">
        <v>0</v>
      </c>
    </row>
    <row r="34" spans="1:10">
      <c r="A34" s="26"/>
      <c r="B34" s="27">
        <v>3</v>
      </c>
      <c r="C34" s="27">
        <v>0</v>
      </c>
      <c r="D34" s="27">
        <v>0</v>
      </c>
      <c r="E34" s="27">
        <v>0</v>
      </c>
      <c r="F34" s="27">
        <v>0</v>
      </c>
      <c r="G34" s="27">
        <v>0</v>
      </c>
      <c r="H34" s="27">
        <v>0</v>
      </c>
      <c r="I34" s="27">
        <v>0</v>
      </c>
      <c r="J34" s="28">
        <v>0</v>
      </c>
    </row>
    <row r="35" spans="1:10">
      <c r="A35" s="26"/>
      <c r="B35" s="27">
        <v>4</v>
      </c>
      <c r="C35" s="27">
        <v>0</v>
      </c>
      <c r="D35" s="27">
        <v>0</v>
      </c>
      <c r="E35" s="27">
        <v>0</v>
      </c>
      <c r="F35" s="27">
        <v>0</v>
      </c>
      <c r="G35" s="27">
        <v>0</v>
      </c>
      <c r="H35" s="27">
        <v>0</v>
      </c>
      <c r="I35" s="27">
        <v>0</v>
      </c>
      <c r="J35" s="28">
        <v>0</v>
      </c>
    </row>
    <row r="36" spans="1:10">
      <c r="A36" s="26"/>
      <c r="B36" s="27">
        <v>5</v>
      </c>
      <c r="C36" s="27">
        <v>0</v>
      </c>
      <c r="D36" s="27">
        <v>0</v>
      </c>
      <c r="E36" s="27">
        <v>0</v>
      </c>
      <c r="F36" s="27">
        <v>0</v>
      </c>
      <c r="G36" s="27">
        <v>0</v>
      </c>
      <c r="H36" s="27">
        <v>0</v>
      </c>
      <c r="I36" s="27">
        <v>0</v>
      </c>
      <c r="J36" s="28">
        <v>0</v>
      </c>
    </row>
    <row r="37" ht="14.6" spans="1:10">
      <c r="A37" s="29"/>
      <c r="B37" s="5">
        <v>6</v>
      </c>
      <c r="C37" s="5">
        <v>0</v>
      </c>
      <c r="D37" s="5">
        <v>0</v>
      </c>
      <c r="E37" s="5">
        <v>0</v>
      </c>
      <c r="F37" s="5">
        <v>0</v>
      </c>
      <c r="G37" s="5">
        <v>0</v>
      </c>
      <c r="H37" s="5">
        <v>0</v>
      </c>
      <c r="I37" s="5">
        <v>0</v>
      </c>
      <c r="J37" s="6">
        <v>0</v>
      </c>
    </row>
    <row r="38" spans="1:10">
      <c r="A38" s="23" t="s">
        <v>69</v>
      </c>
      <c r="B38" s="24">
        <v>1</v>
      </c>
      <c r="C38" s="24">
        <v>0</v>
      </c>
      <c r="D38" s="24">
        <v>0</v>
      </c>
      <c r="E38" s="24">
        <v>0</v>
      </c>
      <c r="F38" s="24">
        <v>0</v>
      </c>
      <c r="G38" s="24">
        <v>0</v>
      </c>
      <c r="H38" s="24">
        <v>0</v>
      </c>
      <c r="I38" s="24">
        <v>0</v>
      </c>
      <c r="J38" s="25">
        <v>0</v>
      </c>
    </row>
    <row r="39" spans="1:10">
      <c r="A39" s="26"/>
      <c r="B39" s="27">
        <v>2</v>
      </c>
      <c r="C39" s="27">
        <v>0</v>
      </c>
      <c r="D39" s="27">
        <v>0</v>
      </c>
      <c r="E39" s="27">
        <v>0</v>
      </c>
      <c r="F39" s="27">
        <v>0</v>
      </c>
      <c r="G39" s="27">
        <v>0</v>
      </c>
      <c r="H39" s="27">
        <v>0</v>
      </c>
      <c r="I39" s="27">
        <v>0</v>
      </c>
      <c r="J39" s="28">
        <v>0</v>
      </c>
    </row>
    <row r="40" spans="1:10">
      <c r="A40" s="26"/>
      <c r="B40" s="27">
        <v>3</v>
      </c>
      <c r="C40" s="27">
        <v>0</v>
      </c>
      <c r="D40" s="27">
        <v>0</v>
      </c>
      <c r="E40" s="27">
        <v>0</v>
      </c>
      <c r="F40" s="27">
        <v>0</v>
      </c>
      <c r="G40" s="27">
        <v>0</v>
      </c>
      <c r="H40" s="27">
        <v>0</v>
      </c>
      <c r="I40" s="27">
        <v>0</v>
      </c>
      <c r="J40" s="28">
        <v>0</v>
      </c>
    </row>
    <row r="41" spans="1:10">
      <c r="A41" s="26"/>
      <c r="B41" s="27">
        <v>4</v>
      </c>
      <c r="C41" s="27">
        <v>0</v>
      </c>
      <c r="D41" s="27">
        <v>0</v>
      </c>
      <c r="E41" s="27">
        <v>0</v>
      </c>
      <c r="F41" s="27">
        <v>0</v>
      </c>
      <c r="G41" s="27">
        <v>0</v>
      </c>
      <c r="H41" s="27">
        <v>0</v>
      </c>
      <c r="I41" s="27">
        <v>0</v>
      </c>
      <c r="J41" s="28">
        <v>0</v>
      </c>
    </row>
    <row r="42" spans="1:10">
      <c r="A42" s="26"/>
      <c r="B42" s="27">
        <v>5</v>
      </c>
      <c r="C42" s="27">
        <v>0</v>
      </c>
      <c r="D42" s="27">
        <v>0</v>
      </c>
      <c r="E42" s="27">
        <v>0</v>
      </c>
      <c r="F42" s="27">
        <v>0</v>
      </c>
      <c r="G42" s="27">
        <v>0</v>
      </c>
      <c r="H42" s="27">
        <v>0</v>
      </c>
      <c r="I42" s="27">
        <v>0</v>
      </c>
      <c r="J42" s="28">
        <v>0</v>
      </c>
    </row>
    <row r="43" ht="14.6" spans="1:10">
      <c r="A43" s="29"/>
      <c r="B43" s="5">
        <v>6</v>
      </c>
      <c r="C43" s="5">
        <v>0</v>
      </c>
      <c r="D43" s="5">
        <v>0</v>
      </c>
      <c r="E43" s="5">
        <v>0</v>
      </c>
      <c r="F43" s="5">
        <v>0</v>
      </c>
      <c r="G43" s="5">
        <v>0</v>
      </c>
      <c r="H43" s="5">
        <v>0</v>
      </c>
      <c r="I43" s="5">
        <v>0</v>
      </c>
      <c r="J43" s="6">
        <v>0</v>
      </c>
    </row>
    <row r="44" spans="1:10">
      <c r="A44" s="23" t="s">
        <v>71</v>
      </c>
      <c r="B44" s="24">
        <v>1</v>
      </c>
      <c r="C44" s="24">
        <v>0</v>
      </c>
      <c r="D44" s="24">
        <v>0</v>
      </c>
      <c r="E44" s="24">
        <v>0</v>
      </c>
      <c r="F44" s="24">
        <v>0</v>
      </c>
      <c r="G44" s="24">
        <v>0</v>
      </c>
      <c r="H44" s="24">
        <v>0</v>
      </c>
      <c r="I44" s="24">
        <v>0</v>
      </c>
      <c r="J44" s="25">
        <v>0</v>
      </c>
    </row>
    <row r="45" spans="1:10">
      <c r="A45" s="26"/>
      <c r="B45" s="27">
        <v>2</v>
      </c>
      <c r="C45" s="27">
        <v>0</v>
      </c>
      <c r="D45" s="27">
        <v>0</v>
      </c>
      <c r="E45" s="27">
        <v>0</v>
      </c>
      <c r="F45" s="27">
        <v>0</v>
      </c>
      <c r="G45" s="27">
        <v>0</v>
      </c>
      <c r="H45" s="27">
        <v>0</v>
      </c>
      <c r="I45" s="27">
        <v>0</v>
      </c>
      <c r="J45" s="28">
        <v>0</v>
      </c>
    </row>
    <row r="46" spans="1:10">
      <c r="A46" s="26"/>
      <c r="B46" s="27">
        <v>3</v>
      </c>
      <c r="C46" s="27">
        <v>0</v>
      </c>
      <c r="D46" s="27">
        <v>0</v>
      </c>
      <c r="E46" s="27">
        <v>0</v>
      </c>
      <c r="F46" s="27">
        <v>0</v>
      </c>
      <c r="G46" s="27">
        <v>0</v>
      </c>
      <c r="H46" s="27">
        <v>0</v>
      </c>
      <c r="I46" s="27">
        <v>0</v>
      </c>
      <c r="J46" s="28">
        <v>0</v>
      </c>
    </row>
    <row r="47" spans="1:10">
      <c r="A47" s="26"/>
      <c r="B47" s="27">
        <v>4</v>
      </c>
      <c r="C47" s="27">
        <v>0</v>
      </c>
      <c r="D47" s="27">
        <v>0</v>
      </c>
      <c r="E47" s="27">
        <v>0</v>
      </c>
      <c r="F47" s="27">
        <v>0</v>
      </c>
      <c r="G47" s="27">
        <v>0</v>
      </c>
      <c r="H47" s="27">
        <v>0</v>
      </c>
      <c r="I47" s="27">
        <v>0</v>
      </c>
      <c r="J47" s="28">
        <v>0</v>
      </c>
    </row>
    <row r="48" spans="1:10">
      <c r="A48" s="26"/>
      <c r="B48" s="27">
        <v>5</v>
      </c>
      <c r="C48" s="27">
        <v>0</v>
      </c>
      <c r="D48" s="27">
        <v>0</v>
      </c>
      <c r="E48" s="27">
        <v>0</v>
      </c>
      <c r="F48" s="27">
        <v>0</v>
      </c>
      <c r="G48" s="27">
        <v>0</v>
      </c>
      <c r="H48" s="27">
        <v>0</v>
      </c>
      <c r="I48" s="27">
        <v>0</v>
      </c>
      <c r="J48" s="28">
        <v>0</v>
      </c>
    </row>
    <row r="49" ht="14.6" spans="1:10">
      <c r="A49" s="29"/>
      <c r="B49" s="5">
        <v>6</v>
      </c>
      <c r="C49" s="5">
        <v>0</v>
      </c>
      <c r="D49" s="5">
        <v>0</v>
      </c>
      <c r="E49" s="5">
        <v>0</v>
      </c>
      <c r="F49" s="5">
        <v>0</v>
      </c>
      <c r="G49" s="5">
        <v>0</v>
      </c>
      <c r="H49" s="5">
        <v>0</v>
      </c>
      <c r="I49" s="5">
        <v>0</v>
      </c>
      <c r="J49" s="6">
        <v>0</v>
      </c>
    </row>
  </sheetData>
  <mergeCells count="8">
    <mergeCell ref="A2:A7"/>
    <mergeCell ref="A8:A13"/>
    <mergeCell ref="A14:A19"/>
    <mergeCell ref="A20:A25"/>
    <mergeCell ref="A26:A31"/>
    <mergeCell ref="A32:A37"/>
    <mergeCell ref="A38:A43"/>
    <mergeCell ref="A44:A49"/>
  </mergeCells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44"/>
  <sheetViews>
    <sheetView workbookViewId="0">
      <pane xSplit="1" topLeftCell="B1" activePane="topRight" state="frozen"/>
      <selection/>
      <selection pane="topRight" activeCell="I3" sqref="D3:I19"/>
    </sheetView>
  </sheetViews>
  <sheetFormatPr defaultColWidth="9" defaultRowHeight="13.85"/>
  <cols>
    <col min="1" max="1" width="8.88495575221239" style="27"/>
    <col min="2" max="2" width="9.55752212389381" style="27" customWidth="1"/>
    <col min="3" max="3" width="37.5575221238938" style="27" customWidth="1"/>
    <col min="4" max="4" width="37.6637168141593" style="27" customWidth="1"/>
    <col min="5" max="5" width="9.55752212389381" style="27" customWidth="1"/>
    <col min="6" max="6" width="13.8849557522124" style="27" customWidth="1"/>
    <col min="7" max="7" width="15.2212389380531" style="27" customWidth="1"/>
    <col min="8" max="8" width="19.1061946902655" style="27" customWidth="1"/>
    <col min="9" max="9" width="24.6637168141593" style="27" customWidth="1"/>
    <col min="10" max="10" width="15.5575221238938" style="27" customWidth="1"/>
    <col min="11" max="11" width="24.3362831858407" style="27" customWidth="1"/>
    <col min="12" max="12" width="24.8849557522124" style="27" customWidth="1"/>
    <col min="13" max="13" width="15.1061946902655" style="27" customWidth="1"/>
    <col min="14" max="14" width="25" style="27" customWidth="1"/>
    <col min="15" max="15" width="23.5575221238938" style="27" customWidth="1"/>
    <col min="16" max="16384" width="8.88495575221239" style="27"/>
  </cols>
  <sheetData>
    <row r="1" s="74" customFormat="1" ht="16.15" spans="1:15">
      <c r="A1" s="75" t="s">
        <v>17</v>
      </c>
      <c r="B1" s="76" t="s">
        <v>19</v>
      </c>
      <c r="C1" s="77" t="s">
        <v>304</v>
      </c>
      <c r="D1" s="77" t="s">
        <v>305</v>
      </c>
      <c r="E1" s="76" t="s">
        <v>306</v>
      </c>
      <c r="F1" s="76" t="s">
        <v>307</v>
      </c>
      <c r="G1" s="76" t="s">
        <v>308</v>
      </c>
      <c r="H1" s="76" t="s">
        <v>309</v>
      </c>
      <c r="I1" s="76" t="s">
        <v>310</v>
      </c>
      <c r="J1" s="76" t="s">
        <v>311</v>
      </c>
      <c r="K1" s="76" t="s">
        <v>312</v>
      </c>
      <c r="L1" s="76" t="s">
        <v>313</v>
      </c>
      <c r="M1" s="76" t="s">
        <v>314</v>
      </c>
      <c r="N1" s="76" t="s">
        <v>315</v>
      </c>
      <c r="O1" s="78" t="s">
        <v>316</v>
      </c>
    </row>
    <row r="2" spans="1:15">
      <c r="A2" s="7">
        <v>1</v>
      </c>
      <c r="B2" s="24" t="s">
        <v>22</v>
      </c>
      <c r="C2" s="24">
        <v>0</v>
      </c>
      <c r="D2" s="24">
        <v>0</v>
      </c>
      <c r="E2" s="24">
        <v>848</v>
      </c>
      <c r="F2" s="24">
        <v>0</v>
      </c>
      <c r="G2" s="24">
        <v>0</v>
      </c>
      <c r="H2" s="24">
        <v>0</v>
      </c>
      <c r="I2" s="24">
        <v>120.49</v>
      </c>
      <c r="J2" s="24">
        <v>0</v>
      </c>
      <c r="K2" s="24">
        <v>0</v>
      </c>
      <c r="L2" s="24">
        <v>0</v>
      </c>
      <c r="M2" s="24">
        <v>0</v>
      </c>
      <c r="N2" s="24">
        <v>0</v>
      </c>
      <c r="O2" s="25">
        <v>0</v>
      </c>
    </row>
    <row r="3" spans="1:15">
      <c r="A3" s="73">
        <v>2</v>
      </c>
      <c r="B3" s="27" t="s">
        <v>22</v>
      </c>
      <c r="C3" s="27">
        <v>4000</v>
      </c>
      <c r="D3" s="27">
        <v>425</v>
      </c>
      <c r="E3" s="27">
        <v>5008</v>
      </c>
      <c r="F3" s="27">
        <v>0</v>
      </c>
      <c r="G3" s="27">
        <v>0</v>
      </c>
      <c r="H3" s="27">
        <v>0</v>
      </c>
      <c r="I3" s="27">
        <v>148.64</v>
      </c>
      <c r="J3" s="27">
        <v>0</v>
      </c>
      <c r="K3" s="27">
        <v>0</v>
      </c>
      <c r="L3" s="27">
        <v>722</v>
      </c>
      <c r="M3" s="27">
        <v>4160</v>
      </c>
      <c r="N3" s="27">
        <v>0</v>
      </c>
      <c r="O3" s="28">
        <v>0</v>
      </c>
    </row>
    <row r="4" spans="1:15">
      <c r="A4" s="73">
        <v>3</v>
      </c>
      <c r="B4" s="27" t="s">
        <v>22</v>
      </c>
      <c r="C4" s="27">
        <v>5800</v>
      </c>
      <c r="D4" s="27">
        <v>0</v>
      </c>
      <c r="E4" s="27">
        <v>3936</v>
      </c>
      <c r="F4" s="27">
        <v>0</v>
      </c>
      <c r="G4" s="27">
        <v>0</v>
      </c>
      <c r="H4" s="27">
        <v>0</v>
      </c>
      <c r="I4" s="27">
        <v>146</v>
      </c>
      <c r="J4" s="27">
        <v>0</v>
      </c>
      <c r="K4" s="27">
        <v>0</v>
      </c>
      <c r="L4" s="27">
        <v>883</v>
      </c>
      <c r="M4" s="27">
        <v>6400</v>
      </c>
      <c r="N4" s="27">
        <v>0</v>
      </c>
      <c r="O4" s="28">
        <v>0</v>
      </c>
    </row>
    <row r="5" ht="14.6" spans="1:15">
      <c r="A5" s="11">
        <v>4</v>
      </c>
      <c r="B5" s="5" t="s">
        <v>22</v>
      </c>
      <c r="C5" s="5">
        <v>4470</v>
      </c>
      <c r="D5" s="5">
        <v>1550</v>
      </c>
      <c r="E5" s="5">
        <v>1448</v>
      </c>
      <c r="F5" s="5">
        <v>0</v>
      </c>
      <c r="G5" s="5">
        <v>0</v>
      </c>
      <c r="H5" s="5">
        <v>0</v>
      </c>
      <c r="I5" s="5">
        <v>70.64</v>
      </c>
      <c r="J5" s="5">
        <v>0</v>
      </c>
      <c r="K5" s="5">
        <v>0</v>
      </c>
      <c r="L5" s="5">
        <v>0</v>
      </c>
      <c r="M5" s="5">
        <v>3000</v>
      </c>
      <c r="N5" s="5">
        <v>0</v>
      </c>
      <c r="O5" s="6">
        <v>0</v>
      </c>
    </row>
    <row r="6" spans="1:15">
      <c r="A6" s="7">
        <v>5</v>
      </c>
      <c r="B6" s="24" t="s">
        <v>27</v>
      </c>
      <c r="C6" s="24">
        <v>17944</v>
      </c>
      <c r="D6" s="24">
        <v>3446.7</v>
      </c>
      <c r="E6" s="24">
        <v>4733</v>
      </c>
      <c r="F6" s="79">
        <v>0</v>
      </c>
      <c r="G6" s="24">
        <v>0</v>
      </c>
      <c r="H6" s="24">
        <v>0</v>
      </c>
      <c r="I6" s="24">
        <v>1424.4825</v>
      </c>
      <c r="J6" s="24">
        <v>0</v>
      </c>
      <c r="K6" s="24">
        <v>86.625</v>
      </c>
      <c r="L6" s="24">
        <v>0</v>
      </c>
      <c r="M6" s="24">
        <v>15200</v>
      </c>
      <c r="N6" s="24">
        <v>0</v>
      </c>
      <c r="O6" s="25">
        <v>0</v>
      </c>
    </row>
    <row r="7" spans="1:15">
      <c r="A7" s="73">
        <v>6</v>
      </c>
      <c r="B7" s="27" t="s">
        <v>27</v>
      </c>
      <c r="C7" s="27">
        <v>6840</v>
      </c>
      <c r="D7" s="27">
        <v>2052</v>
      </c>
      <c r="E7" s="27">
        <v>4150</v>
      </c>
      <c r="F7">
        <v>0</v>
      </c>
      <c r="G7" s="27">
        <v>0</v>
      </c>
      <c r="H7" s="27">
        <v>161.875</v>
      </c>
      <c r="I7" s="27">
        <v>1970.2375</v>
      </c>
      <c r="J7" s="27">
        <v>0</v>
      </c>
      <c r="K7" s="27">
        <v>0</v>
      </c>
      <c r="L7" s="27">
        <v>0</v>
      </c>
      <c r="M7" s="27">
        <v>0</v>
      </c>
      <c r="N7" s="27">
        <v>1000</v>
      </c>
      <c r="O7" s="28">
        <v>0</v>
      </c>
    </row>
    <row r="8" spans="1:15">
      <c r="A8" s="73">
        <v>7</v>
      </c>
      <c r="B8" s="27" t="s">
        <v>27</v>
      </c>
      <c r="C8" s="27">
        <v>9168</v>
      </c>
      <c r="D8" s="27">
        <v>1167</v>
      </c>
      <c r="E8" s="27">
        <v>1860</v>
      </c>
      <c r="F8">
        <v>0</v>
      </c>
      <c r="G8" s="27">
        <v>0</v>
      </c>
      <c r="H8" s="27">
        <v>805.28</v>
      </c>
      <c r="I8" s="27">
        <v>2091.2465</v>
      </c>
      <c r="J8" s="27">
        <v>0</v>
      </c>
      <c r="K8" s="27">
        <v>2875.775</v>
      </c>
      <c r="L8" s="27">
        <v>7076.3</v>
      </c>
      <c r="M8" s="27">
        <v>0</v>
      </c>
      <c r="N8" s="27">
        <v>0</v>
      </c>
      <c r="O8" s="28">
        <v>0</v>
      </c>
    </row>
    <row r="9" spans="1:15">
      <c r="A9" s="73">
        <v>8</v>
      </c>
      <c r="B9" s="27" t="s">
        <v>27</v>
      </c>
      <c r="C9" s="27">
        <v>5780</v>
      </c>
      <c r="D9" s="27">
        <v>3098.2</v>
      </c>
      <c r="E9" s="27">
        <v>2175</v>
      </c>
      <c r="F9">
        <v>0</v>
      </c>
      <c r="G9" s="27">
        <v>0</v>
      </c>
      <c r="H9" s="27">
        <v>0</v>
      </c>
      <c r="I9" s="27">
        <v>1522.185</v>
      </c>
      <c r="J9" s="27">
        <v>0</v>
      </c>
      <c r="K9" s="27">
        <v>0</v>
      </c>
      <c r="L9" s="27">
        <v>0</v>
      </c>
      <c r="M9" s="27">
        <v>0</v>
      </c>
      <c r="N9" s="27">
        <v>900</v>
      </c>
      <c r="O9" s="28">
        <v>0</v>
      </c>
    </row>
    <row r="10" spans="1:15">
      <c r="A10" s="73">
        <v>9</v>
      </c>
      <c r="B10" s="27" t="s">
        <v>27</v>
      </c>
      <c r="C10" s="27">
        <v>0</v>
      </c>
      <c r="D10" s="27">
        <v>1980</v>
      </c>
      <c r="E10" s="27">
        <v>1156</v>
      </c>
      <c r="F10">
        <v>0</v>
      </c>
      <c r="G10" s="27">
        <v>0</v>
      </c>
      <c r="H10" s="27">
        <v>0</v>
      </c>
      <c r="I10" s="27">
        <v>4204.8125</v>
      </c>
      <c r="J10" s="27">
        <v>0</v>
      </c>
      <c r="K10" s="27">
        <v>2948.75</v>
      </c>
      <c r="L10" s="27">
        <v>0</v>
      </c>
      <c r="M10" s="27">
        <v>8000</v>
      </c>
      <c r="N10" s="27">
        <v>0</v>
      </c>
      <c r="O10" s="28">
        <v>0</v>
      </c>
    </row>
    <row r="11" spans="1:15">
      <c r="A11" s="73">
        <v>10</v>
      </c>
      <c r="B11" s="27" t="s">
        <v>27</v>
      </c>
      <c r="C11" s="27">
        <v>6000</v>
      </c>
      <c r="D11" s="27">
        <v>0</v>
      </c>
      <c r="E11" s="27">
        <v>1976</v>
      </c>
      <c r="F11">
        <v>0</v>
      </c>
      <c r="G11" s="27">
        <v>0</v>
      </c>
      <c r="H11" s="27">
        <v>0</v>
      </c>
      <c r="I11" s="27">
        <v>1122.3415</v>
      </c>
      <c r="J11" s="27">
        <v>0</v>
      </c>
      <c r="K11" s="27">
        <v>0</v>
      </c>
      <c r="L11" s="27">
        <v>0</v>
      </c>
      <c r="M11" s="27">
        <v>3000</v>
      </c>
      <c r="N11" s="27">
        <v>1600</v>
      </c>
      <c r="O11" s="28">
        <v>0</v>
      </c>
    </row>
    <row r="12" spans="1:15">
      <c r="A12" s="73">
        <v>11</v>
      </c>
      <c r="B12" s="27" t="s">
        <v>27</v>
      </c>
      <c r="C12" s="27">
        <v>3200</v>
      </c>
      <c r="D12" s="27">
        <v>6313</v>
      </c>
      <c r="E12" s="27">
        <v>0</v>
      </c>
      <c r="F12">
        <v>0</v>
      </c>
      <c r="G12" s="27">
        <v>0</v>
      </c>
      <c r="H12" s="27">
        <v>0</v>
      </c>
      <c r="I12" s="27">
        <v>1560.5275</v>
      </c>
      <c r="J12" s="27">
        <v>0</v>
      </c>
      <c r="K12" s="27">
        <v>0</v>
      </c>
      <c r="L12" s="27">
        <v>0</v>
      </c>
      <c r="M12" s="27">
        <v>0</v>
      </c>
      <c r="N12" s="27">
        <v>0</v>
      </c>
      <c r="O12" s="28">
        <v>0</v>
      </c>
    </row>
    <row r="13" spans="1:15">
      <c r="A13" s="73">
        <v>12</v>
      </c>
      <c r="B13" s="27" t="s">
        <v>27</v>
      </c>
      <c r="C13" s="27">
        <v>4792</v>
      </c>
      <c r="D13" s="27">
        <v>414</v>
      </c>
      <c r="E13" s="27">
        <v>0</v>
      </c>
      <c r="F13">
        <v>0</v>
      </c>
      <c r="G13" s="27">
        <v>0</v>
      </c>
      <c r="H13" s="27">
        <v>420.42</v>
      </c>
      <c r="I13" s="27">
        <v>2246.076</v>
      </c>
      <c r="J13" s="27">
        <v>0</v>
      </c>
      <c r="K13" s="27">
        <v>368.025</v>
      </c>
      <c r="L13" s="27">
        <v>2345.7</v>
      </c>
      <c r="M13" s="27">
        <v>0</v>
      </c>
      <c r="N13" s="27">
        <v>0</v>
      </c>
      <c r="O13" s="28">
        <v>0</v>
      </c>
    </row>
    <row r="14" spans="1:15">
      <c r="A14" s="73">
        <v>13</v>
      </c>
      <c r="B14" s="27" t="s">
        <v>27</v>
      </c>
      <c r="C14" s="27">
        <v>0</v>
      </c>
      <c r="D14" s="27">
        <v>831</v>
      </c>
      <c r="E14" s="27">
        <v>518</v>
      </c>
      <c r="F14">
        <v>0</v>
      </c>
      <c r="G14" s="27">
        <v>6672</v>
      </c>
      <c r="H14" s="27">
        <v>1036</v>
      </c>
      <c r="I14" s="27">
        <v>2623.7225</v>
      </c>
      <c r="J14" s="27">
        <v>0</v>
      </c>
      <c r="K14" s="27">
        <v>1380.05</v>
      </c>
      <c r="L14" s="27">
        <v>0</v>
      </c>
      <c r="M14" s="27">
        <v>0</v>
      </c>
      <c r="N14" s="27">
        <v>0</v>
      </c>
      <c r="O14" s="28">
        <v>0</v>
      </c>
    </row>
    <row r="15" spans="1:15">
      <c r="A15" s="73">
        <v>14</v>
      </c>
      <c r="B15" s="27" t="s">
        <v>27</v>
      </c>
      <c r="C15" s="27">
        <v>12740</v>
      </c>
      <c r="D15" s="27">
        <v>50</v>
      </c>
      <c r="E15" s="27">
        <v>240</v>
      </c>
      <c r="F15">
        <v>0</v>
      </c>
      <c r="G15" s="27">
        <v>0</v>
      </c>
      <c r="H15" s="27">
        <v>77</v>
      </c>
      <c r="I15" s="27">
        <v>2927.0675</v>
      </c>
      <c r="J15" s="27">
        <v>0</v>
      </c>
      <c r="K15" s="27">
        <v>5373.9</v>
      </c>
      <c r="L15" s="27">
        <v>6805.75</v>
      </c>
      <c r="M15" s="27">
        <v>0</v>
      </c>
      <c r="N15" s="27">
        <v>0</v>
      </c>
      <c r="O15" s="28">
        <v>0</v>
      </c>
    </row>
    <row r="16" spans="1:15">
      <c r="A16" s="73">
        <v>15</v>
      </c>
      <c r="B16" s="27" t="s">
        <v>27</v>
      </c>
      <c r="C16" s="27">
        <v>4450</v>
      </c>
      <c r="D16" s="27">
        <v>820</v>
      </c>
      <c r="E16" s="27">
        <v>2180</v>
      </c>
      <c r="F16">
        <v>0</v>
      </c>
      <c r="G16" s="27">
        <v>0</v>
      </c>
      <c r="H16" s="27">
        <v>1014.5625</v>
      </c>
      <c r="I16" s="27">
        <v>4522.56</v>
      </c>
      <c r="J16" s="27">
        <v>0</v>
      </c>
      <c r="K16" s="27">
        <v>809.375</v>
      </c>
      <c r="L16" s="27">
        <v>0</v>
      </c>
      <c r="M16" s="27">
        <v>10000</v>
      </c>
      <c r="N16" s="27">
        <v>0</v>
      </c>
      <c r="O16" s="28">
        <v>0</v>
      </c>
    </row>
    <row r="17" spans="1:15">
      <c r="A17" s="73">
        <v>16</v>
      </c>
      <c r="B17" s="27" t="s">
        <v>27</v>
      </c>
      <c r="C17" s="27">
        <v>4520</v>
      </c>
      <c r="D17" s="27">
        <v>1745.5</v>
      </c>
      <c r="E17" s="27">
        <v>0</v>
      </c>
      <c r="F17">
        <v>0</v>
      </c>
      <c r="G17" s="27">
        <v>0</v>
      </c>
      <c r="H17" s="27">
        <v>2732.625</v>
      </c>
      <c r="I17" s="27">
        <v>4018.21</v>
      </c>
      <c r="J17" s="27">
        <v>0</v>
      </c>
      <c r="K17" s="27">
        <v>801.675</v>
      </c>
      <c r="L17" s="27">
        <v>0</v>
      </c>
      <c r="M17" s="27">
        <v>0</v>
      </c>
      <c r="N17" s="27">
        <v>0</v>
      </c>
      <c r="O17" s="28">
        <v>0</v>
      </c>
    </row>
    <row r="18" ht="14.6" spans="1:15">
      <c r="A18" s="11">
        <v>17</v>
      </c>
      <c r="B18" s="5" t="s">
        <v>27</v>
      </c>
      <c r="C18" s="5">
        <v>2260</v>
      </c>
      <c r="D18" s="5">
        <v>0</v>
      </c>
      <c r="E18" s="5">
        <v>1832</v>
      </c>
      <c r="F18" s="80">
        <v>0</v>
      </c>
      <c r="G18" s="5">
        <v>0</v>
      </c>
      <c r="H18" s="5">
        <v>0</v>
      </c>
      <c r="I18" s="5">
        <v>1353.73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6">
        <v>0</v>
      </c>
    </row>
    <row r="19" spans="1:15">
      <c r="A19" s="7">
        <v>18</v>
      </c>
      <c r="B19" s="24" t="s">
        <v>41</v>
      </c>
      <c r="C19" s="24">
        <v>2640</v>
      </c>
      <c r="D19" s="24">
        <v>60</v>
      </c>
      <c r="E19" s="24">
        <v>2130</v>
      </c>
      <c r="F19" s="24">
        <v>322.5</v>
      </c>
      <c r="G19" s="24">
        <v>0</v>
      </c>
      <c r="H19" s="24">
        <v>0</v>
      </c>
      <c r="I19" s="24">
        <v>2128.864</v>
      </c>
      <c r="J19" s="24">
        <v>0</v>
      </c>
      <c r="K19" s="24">
        <v>0</v>
      </c>
      <c r="L19" s="24">
        <v>0</v>
      </c>
      <c r="M19" s="24">
        <v>8000</v>
      </c>
      <c r="N19" s="24">
        <v>3300</v>
      </c>
      <c r="O19" s="25">
        <v>152</v>
      </c>
    </row>
    <row r="20" spans="1:15">
      <c r="A20" s="73">
        <v>19</v>
      </c>
      <c r="B20" s="27" t="s">
        <v>41</v>
      </c>
      <c r="C20" s="27">
        <v>2055</v>
      </c>
      <c r="D20" s="27">
        <v>975</v>
      </c>
      <c r="E20" s="27">
        <v>416</v>
      </c>
      <c r="F20" s="27">
        <v>0</v>
      </c>
      <c r="G20" s="27">
        <v>0</v>
      </c>
      <c r="H20" s="27">
        <v>0</v>
      </c>
      <c r="I20" s="27">
        <v>1800.82133333333</v>
      </c>
      <c r="J20" s="27">
        <v>0</v>
      </c>
      <c r="K20" s="27">
        <v>0</v>
      </c>
      <c r="L20" s="27">
        <v>0</v>
      </c>
      <c r="M20" s="27">
        <v>8000</v>
      </c>
      <c r="N20" s="27">
        <v>1200</v>
      </c>
      <c r="O20" s="28">
        <v>0</v>
      </c>
    </row>
    <row r="21" spans="1:15">
      <c r="A21" s="73">
        <v>20</v>
      </c>
      <c r="B21" s="27" t="s">
        <v>41</v>
      </c>
      <c r="C21" s="27">
        <v>0</v>
      </c>
      <c r="D21" s="27">
        <v>31.5</v>
      </c>
      <c r="E21" s="27">
        <v>4287</v>
      </c>
      <c r="F21" s="27">
        <v>322.5</v>
      </c>
      <c r="G21" s="27">
        <v>4056</v>
      </c>
      <c r="H21" s="27">
        <v>80</v>
      </c>
      <c r="I21" s="27">
        <v>2614.2304</v>
      </c>
      <c r="J21" s="27">
        <v>0</v>
      </c>
      <c r="K21" s="27">
        <v>0</v>
      </c>
      <c r="L21" s="27">
        <v>0</v>
      </c>
      <c r="M21" s="27">
        <v>8000</v>
      </c>
      <c r="N21" s="27">
        <v>1800</v>
      </c>
      <c r="O21" s="28">
        <v>0</v>
      </c>
    </row>
    <row r="22" spans="1:15">
      <c r="A22" s="73">
        <v>21</v>
      </c>
      <c r="B22" s="27" t="s">
        <v>41</v>
      </c>
      <c r="C22" s="27">
        <v>0</v>
      </c>
      <c r="D22" s="27">
        <v>0</v>
      </c>
      <c r="E22" s="27">
        <v>0</v>
      </c>
      <c r="F22" s="27">
        <v>216.2</v>
      </c>
      <c r="G22" s="27">
        <v>0</v>
      </c>
      <c r="H22" s="27">
        <v>0</v>
      </c>
      <c r="I22" s="27">
        <v>2971.2</v>
      </c>
      <c r="J22" s="27">
        <v>0</v>
      </c>
      <c r="K22" s="27">
        <v>275</v>
      </c>
      <c r="L22" s="27">
        <v>0</v>
      </c>
      <c r="M22" s="27">
        <v>0</v>
      </c>
      <c r="N22" s="27">
        <v>0</v>
      </c>
      <c r="O22" s="28">
        <v>100</v>
      </c>
    </row>
    <row r="23" spans="1:15">
      <c r="A23" s="73">
        <v>22</v>
      </c>
      <c r="B23" s="27" t="s">
        <v>41</v>
      </c>
      <c r="C23" s="27">
        <v>6640</v>
      </c>
      <c r="D23" s="27">
        <v>660</v>
      </c>
      <c r="E23" s="27">
        <v>435</v>
      </c>
      <c r="F23" s="27">
        <v>0</v>
      </c>
      <c r="G23" s="27">
        <v>2498</v>
      </c>
      <c r="H23" s="27">
        <v>0</v>
      </c>
      <c r="I23" s="27">
        <v>3277.504</v>
      </c>
      <c r="J23" s="27">
        <v>0</v>
      </c>
      <c r="K23" s="27">
        <v>0</v>
      </c>
      <c r="L23" s="27">
        <v>1102.2</v>
      </c>
      <c r="M23" s="27">
        <v>0</v>
      </c>
      <c r="N23" s="27">
        <v>0</v>
      </c>
      <c r="O23" s="28">
        <v>0</v>
      </c>
    </row>
    <row r="24" spans="1:15">
      <c r="A24" s="73">
        <v>23</v>
      </c>
      <c r="B24" s="27" t="s">
        <v>41</v>
      </c>
      <c r="C24" s="27">
        <v>9960</v>
      </c>
      <c r="D24" s="27">
        <v>1615</v>
      </c>
      <c r="E24" s="27">
        <v>300</v>
      </c>
      <c r="F24" s="27">
        <v>702</v>
      </c>
      <c r="G24" s="27">
        <v>1200</v>
      </c>
      <c r="H24" s="27">
        <v>2320</v>
      </c>
      <c r="I24" s="27">
        <v>1069.44</v>
      </c>
      <c r="J24" s="27">
        <v>0</v>
      </c>
      <c r="K24" s="27">
        <v>98.89</v>
      </c>
      <c r="L24" s="27">
        <v>1378.52</v>
      </c>
      <c r="M24" s="27">
        <v>0</v>
      </c>
      <c r="N24" s="27">
        <v>0</v>
      </c>
      <c r="O24" s="28">
        <v>250</v>
      </c>
    </row>
    <row r="25" spans="1:15">
      <c r="A25" s="73">
        <v>24</v>
      </c>
      <c r="B25" s="27" t="s">
        <v>41</v>
      </c>
      <c r="C25" s="27">
        <v>1320</v>
      </c>
      <c r="D25" s="27">
        <v>1322</v>
      </c>
      <c r="E25" s="27">
        <v>549</v>
      </c>
      <c r="F25" s="27">
        <v>0</v>
      </c>
      <c r="G25" s="27">
        <v>0</v>
      </c>
      <c r="H25" s="27">
        <v>0</v>
      </c>
      <c r="I25" s="27">
        <v>1243.216</v>
      </c>
      <c r="J25" s="27">
        <v>0</v>
      </c>
      <c r="K25" s="27">
        <v>13.2</v>
      </c>
      <c r="L25" s="27">
        <v>884.4</v>
      </c>
      <c r="M25" s="27">
        <v>0</v>
      </c>
      <c r="N25" s="27">
        <v>0</v>
      </c>
      <c r="O25" s="28">
        <v>100</v>
      </c>
    </row>
    <row r="26" spans="1:15">
      <c r="A26" s="73">
        <v>25</v>
      </c>
      <c r="B26" s="27" t="s">
        <v>41</v>
      </c>
      <c r="C26" s="27">
        <v>17786</v>
      </c>
      <c r="D26" s="27">
        <v>1268</v>
      </c>
      <c r="E26" s="27">
        <v>3866</v>
      </c>
      <c r="F26" s="27">
        <v>0</v>
      </c>
      <c r="G26" s="27">
        <v>0</v>
      </c>
      <c r="H26" s="27">
        <v>480</v>
      </c>
      <c r="I26" s="27">
        <v>4605.86666666667</v>
      </c>
      <c r="J26" s="27">
        <v>0</v>
      </c>
      <c r="K26" s="27">
        <v>97.35</v>
      </c>
      <c r="L26" s="27">
        <v>1445.4</v>
      </c>
      <c r="M26" s="27">
        <v>0</v>
      </c>
      <c r="N26" s="27">
        <v>1400</v>
      </c>
      <c r="O26" s="28">
        <v>0</v>
      </c>
    </row>
    <row r="27" spans="1:15">
      <c r="A27" s="73">
        <v>26</v>
      </c>
      <c r="B27" s="27" t="s">
        <v>41</v>
      </c>
      <c r="C27" s="27">
        <v>1320</v>
      </c>
      <c r="D27" s="27">
        <v>1377</v>
      </c>
      <c r="E27" s="27">
        <v>2637.1</v>
      </c>
      <c r="F27" s="27">
        <v>0</v>
      </c>
      <c r="G27" s="27">
        <v>0</v>
      </c>
      <c r="H27" s="27">
        <v>160</v>
      </c>
      <c r="I27" s="27">
        <v>2921.216</v>
      </c>
      <c r="J27" s="27">
        <v>0</v>
      </c>
      <c r="K27" s="27">
        <v>0</v>
      </c>
      <c r="L27" s="27">
        <v>0</v>
      </c>
      <c r="M27" s="27">
        <v>0</v>
      </c>
      <c r="N27" s="27">
        <v>2100</v>
      </c>
      <c r="O27" s="28">
        <v>0</v>
      </c>
    </row>
    <row r="28" spans="1:15">
      <c r="A28" s="73">
        <v>27</v>
      </c>
      <c r="B28" s="27" t="s">
        <v>41</v>
      </c>
      <c r="C28" s="27">
        <v>0</v>
      </c>
      <c r="D28" s="27">
        <v>315</v>
      </c>
      <c r="E28" s="27">
        <v>1375.2</v>
      </c>
      <c r="F28" s="27">
        <v>244</v>
      </c>
      <c r="G28" s="27">
        <v>0</v>
      </c>
      <c r="H28" s="27">
        <v>424</v>
      </c>
      <c r="I28" s="27">
        <v>2543.936</v>
      </c>
      <c r="J28" s="27">
        <v>0</v>
      </c>
      <c r="K28" s="27">
        <v>0</v>
      </c>
      <c r="L28" s="27">
        <v>0</v>
      </c>
      <c r="M28" s="27">
        <v>0</v>
      </c>
      <c r="N28" s="27">
        <v>0</v>
      </c>
      <c r="O28" s="28">
        <v>0</v>
      </c>
    </row>
    <row r="29" ht="14.6" spans="1:15">
      <c r="A29" s="11">
        <v>28</v>
      </c>
      <c r="B29" s="5" t="s">
        <v>41</v>
      </c>
      <c r="C29" s="5">
        <v>7100</v>
      </c>
      <c r="D29" s="5">
        <v>1362.5</v>
      </c>
      <c r="E29" s="5">
        <v>0</v>
      </c>
      <c r="F29" s="5">
        <v>0</v>
      </c>
      <c r="G29" s="5">
        <v>2532</v>
      </c>
      <c r="H29" s="5">
        <v>547.2</v>
      </c>
      <c r="I29" s="5">
        <v>2036.848</v>
      </c>
      <c r="J29" s="5">
        <v>0</v>
      </c>
      <c r="K29" s="5">
        <v>28.6</v>
      </c>
      <c r="L29" s="5">
        <v>1138.5</v>
      </c>
      <c r="M29" s="5">
        <v>0</v>
      </c>
      <c r="N29" s="5">
        <v>0</v>
      </c>
      <c r="O29" s="6">
        <v>50</v>
      </c>
    </row>
    <row r="30" spans="1:15">
      <c r="A30" s="7">
        <v>29</v>
      </c>
      <c r="B30" s="24" t="s">
        <v>53</v>
      </c>
      <c r="C30" s="24">
        <v>5060</v>
      </c>
      <c r="D30" s="24">
        <v>36</v>
      </c>
      <c r="E30" s="24">
        <v>0</v>
      </c>
      <c r="F30" s="24">
        <v>0</v>
      </c>
      <c r="G30" s="24">
        <v>0</v>
      </c>
      <c r="H30" s="24">
        <v>0</v>
      </c>
      <c r="I30" s="24">
        <v>3050.57777777778</v>
      </c>
      <c r="J30" s="24">
        <v>0</v>
      </c>
      <c r="K30" s="24">
        <v>0</v>
      </c>
      <c r="L30" s="24">
        <v>0</v>
      </c>
      <c r="M30" s="24">
        <v>0</v>
      </c>
      <c r="N30" s="24">
        <v>1000</v>
      </c>
      <c r="O30" s="25">
        <v>0</v>
      </c>
    </row>
    <row r="31" spans="1:15">
      <c r="A31" s="73">
        <v>30</v>
      </c>
      <c r="B31" s="27" t="s">
        <v>53</v>
      </c>
      <c r="C31" s="27">
        <v>20448.75</v>
      </c>
      <c r="D31" s="27">
        <v>3616.24375</v>
      </c>
      <c r="E31" s="27">
        <v>466.5</v>
      </c>
      <c r="F31" s="27">
        <v>0</v>
      </c>
      <c r="G31" s="27">
        <v>0</v>
      </c>
      <c r="H31" s="27">
        <v>1000.85333333333</v>
      </c>
      <c r="I31" s="27">
        <v>8682.84333333333</v>
      </c>
      <c r="J31" s="27">
        <v>0</v>
      </c>
      <c r="K31" s="27">
        <v>1427.23333333333</v>
      </c>
      <c r="L31" s="27">
        <v>0</v>
      </c>
      <c r="M31" s="27">
        <v>0</v>
      </c>
      <c r="N31" s="27">
        <v>960</v>
      </c>
      <c r="O31" s="28">
        <v>0</v>
      </c>
    </row>
    <row r="32" spans="1:15">
      <c r="A32" s="73">
        <v>31</v>
      </c>
      <c r="B32" s="27" t="s">
        <v>53</v>
      </c>
      <c r="C32" s="27">
        <v>967.5</v>
      </c>
      <c r="D32" s="27">
        <v>0</v>
      </c>
      <c r="E32" s="27">
        <v>0</v>
      </c>
      <c r="F32" s="27">
        <v>142.5</v>
      </c>
      <c r="G32" s="27">
        <v>0</v>
      </c>
      <c r="H32" s="27">
        <v>198</v>
      </c>
      <c r="I32" s="27">
        <v>924.16</v>
      </c>
      <c r="J32" s="27">
        <v>0</v>
      </c>
      <c r="K32" s="27">
        <v>0</v>
      </c>
      <c r="L32" s="27">
        <v>0</v>
      </c>
      <c r="M32" s="27">
        <v>12000</v>
      </c>
      <c r="N32" s="27">
        <v>1800</v>
      </c>
      <c r="O32" s="28">
        <v>0</v>
      </c>
    </row>
    <row r="33" spans="1:15">
      <c r="A33" s="73">
        <v>32</v>
      </c>
      <c r="B33" s="27" t="s">
        <v>53</v>
      </c>
      <c r="C33" s="27">
        <v>7644.54545454545</v>
      </c>
      <c r="D33" s="27">
        <v>2121.63636363636</v>
      </c>
      <c r="E33" s="27">
        <v>0</v>
      </c>
      <c r="F33" s="27">
        <v>0</v>
      </c>
      <c r="G33" s="27">
        <v>0</v>
      </c>
      <c r="H33" s="27">
        <v>0</v>
      </c>
      <c r="I33" s="27">
        <v>9193.62060606061</v>
      </c>
      <c r="J33" s="27">
        <v>0</v>
      </c>
      <c r="K33" s="27">
        <v>1509.45454545455</v>
      </c>
      <c r="L33" s="27">
        <v>0</v>
      </c>
      <c r="M33" s="27">
        <v>0</v>
      </c>
      <c r="N33" s="27">
        <v>1260</v>
      </c>
      <c r="O33" s="28">
        <v>0</v>
      </c>
    </row>
    <row r="34" spans="1:15">
      <c r="A34" s="73">
        <v>33</v>
      </c>
      <c r="B34" s="27" t="s">
        <v>53</v>
      </c>
      <c r="C34" s="27">
        <v>13496.7045454545</v>
      </c>
      <c r="D34" s="27">
        <v>2417.56988636364</v>
      </c>
      <c r="E34" s="27">
        <v>787.5</v>
      </c>
      <c r="F34" s="27">
        <v>0</v>
      </c>
      <c r="G34" s="27">
        <v>0</v>
      </c>
      <c r="H34" s="27">
        <v>466.666666666667</v>
      </c>
      <c r="I34" s="27">
        <v>6490.09606060606</v>
      </c>
      <c r="J34" s="27">
        <v>0</v>
      </c>
      <c r="K34" s="27">
        <v>2471.84545454545</v>
      </c>
      <c r="L34" s="27">
        <v>0</v>
      </c>
      <c r="M34" s="27">
        <v>0</v>
      </c>
      <c r="N34" s="27">
        <v>600</v>
      </c>
      <c r="O34" s="28">
        <v>0</v>
      </c>
    </row>
    <row r="35" spans="1:15">
      <c r="A35" s="73">
        <v>34</v>
      </c>
      <c r="B35" s="27" t="s">
        <v>53</v>
      </c>
      <c r="C35" s="27">
        <v>4170</v>
      </c>
      <c r="D35" s="27">
        <v>557.6</v>
      </c>
      <c r="E35" s="27">
        <v>177</v>
      </c>
      <c r="F35" s="27">
        <v>0</v>
      </c>
      <c r="G35" s="27">
        <v>0</v>
      </c>
      <c r="H35" s="27">
        <v>1386.66666666667</v>
      </c>
      <c r="I35" s="27">
        <v>1159.92888888889</v>
      </c>
      <c r="J35" s="27">
        <v>0</v>
      </c>
      <c r="K35" s="27">
        <v>0</v>
      </c>
      <c r="L35" s="27">
        <v>0</v>
      </c>
      <c r="M35" s="27">
        <v>0</v>
      </c>
      <c r="N35" s="27">
        <v>0</v>
      </c>
      <c r="O35" s="28">
        <v>0</v>
      </c>
    </row>
    <row r="36" spans="1:15">
      <c r="A36" s="73">
        <v>35</v>
      </c>
      <c r="B36" s="27" t="s">
        <v>53</v>
      </c>
      <c r="C36" s="27">
        <v>7740</v>
      </c>
      <c r="D36" s="27">
        <v>1874</v>
      </c>
      <c r="E36" s="27">
        <v>0</v>
      </c>
      <c r="F36" s="27">
        <v>0</v>
      </c>
      <c r="G36" s="27">
        <v>0</v>
      </c>
      <c r="H36" s="27">
        <v>346.666666666667</v>
      </c>
      <c r="I36" s="27">
        <v>3244.72</v>
      </c>
      <c r="J36" s="27">
        <v>0</v>
      </c>
      <c r="K36" s="27">
        <v>132.8</v>
      </c>
      <c r="L36" s="27">
        <v>0</v>
      </c>
      <c r="M36" s="27">
        <v>0</v>
      </c>
      <c r="N36" s="27">
        <v>0</v>
      </c>
      <c r="O36" s="28">
        <v>0</v>
      </c>
    </row>
    <row r="37" ht="14.6" spans="1:15">
      <c r="A37" s="11">
        <v>36</v>
      </c>
      <c r="B37" s="5" t="s">
        <v>53</v>
      </c>
      <c r="C37" s="5">
        <v>322.5</v>
      </c>
      <c r="D37" s="5">
        <v>0</v>
      </c>
      <c r="E37" s="5">
        <v>0</v>
      </c>
      <c r="F37" s="5">
        <v>47.5</v>
      </c>
      <c r="G37" s="5">
        <v>0</v>
      </c>
      <c r="H37" s="5">
        <v>66</v>
      </c>
      <c r="I37" s="5">
        <v>308.053333333333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6">
        <v>0</v>
      </c>
    </row>
    <row r="38" spans="1:15">
      <c r="A38" s="7">
        <v>37</v>
      </c>
      <c r="B38" s="24" t="s">
        <v>62</v>
      </c>
      <c r="C38" s="24">
        <v>0</v>
      </c>
      <c r="D38" s="24">
        <v>684</v>
      </c>
      <c r="E38" s="24">
        <v>0</v>
      </c>
      <c r="F38" s="24">
        <v>180</v>
      </c>
      <c r="G38" s="24">
        <v>2400</v>
      </c>
      <c r="H38" s="24">
        <v>0</v>
      </c>
      <c r="I38" s="24">
        <v>854.1</v>
      </c>
      <c r="J38" s="24">
        <v>0</v>
      </c>
      <c r="K38" s="24">
        <v>642.6</v>
      </c>
      <c r="L38" s="24">
        <v>0</v>
      </c>
      <c r="M38" s="24">
        <v>2000</v>
      </c>
      <c r="N38" s="24">
        <v>0</v>
      </c>
      <c r="O38" s="25">
        <v>0</v>
      </c>
    </row>
    <row r="39" spans="1:15">
      <c r="A39" s="73">
        <v>38</v>
      </c>
      <c r="B39" s="27" t="s">
        <v>62</v>
      </c>
      <c r="C39" s="27">
        <v>9740.30769230769</v>
      </c>
      <c r="D39" s="27">
        <v>1307.92307692308</v>
      </c>
      <c r="E39" s="27">
        <v>0</v>
      </c>
      <c r="F39" s="27">
        <v>1931.92307692308</v>
      </c>
      <c r="G39" s="27">
        <v>6656</v>
      </c>
      <c r="H39" s="27">
        <v>0</v>
      </c>
      <c r="I39" s="27">
        <v>496.219230769231</v>
      </c>
      <c r="J39" s="27">
        <v>0</v>
      </c>
      <c r="K39" s="27">
        <v>2125.93230769231</v>
      </c>
      <c r="L39" s="27">
        <v>1600</v>
      </c>
      <c r="M39" s="27">
        <v>0</v>
      </c>
      <c r="N39" s="27">
        <v>0</v>
      </c>
      <c r="O39" s="28">
        <v>0</v>
      </c>
    </row>
    <row r="40" spans="1:15">
      <c r="A40" s="73">
        <v>39</v>
      </c>
      <c r="B40" s="27" t="s">
        <v>62</v>
      </c>
      <c r="C40" s="27">
        <v>11560</v>
      </c>
      <c r="D40" s="27">
        <v>3698.28</v>
      </c>
      <c r="E40" s="27">
        <v>3858</v>
      </c>
      <c r="F40" s="27">
        <v>0</v>
      </c>
      <c r="G40" s="27">
        <v>0</v>
      </c>
      <c r="H40" s="27">
        <v>0</v>
      </c>
      <c r="I40" s="27">
        <v>1147.83</v>
      </c>
      <c r="J40" s="27">
        <v>0</v>
      </c>
      <c r="K40" s="27">
        <v>3884</v>
      </c>
      <c r="L40" s="27">
        <v>0</v>
      </c>
      <c r="M40" s="27">
        <v>0</v>
      </c>
      <c r="N40" s="27">
        <v>3800</v>
      </c>
      <c r="O40" s="28">
        <v>0</v>
      </c>
    </row>
    <row r="41" ht="14.6" spans="1:15">
      <c r="A41" s="11">
        <v>40</v>
      </c>
      <c r="B41" s="5" t="s">
        <v>62</v>
      </c>
      <c r="C41" s="5">
        <v>4347.69230769231</v>
      </c>
      <c r="D41" s="5">
        <v>1577.07692307692</v>
      </c>
      <c r="E41" s="5">
        <v>0</v>
      </c>
      <c r="F41" s="5">
        <v>1013.07692307692</v>
      </c>
      <c r="G41" s="5">
        <v>4956</v>
      </c>
      <c r="H41" s="5">
        <v>0</v>
      </c>
      <c r="I41" s="5">
        <v>994.730769230769</v>
      </c>
      <c r="J41" s="5">
        <v>0</v>
      </c>
      <c r="K41" s="5">
        <v>2250.62769230769</v>
      </c>
      <c r="L41" s="5">
        <v>0</v>
      </c>
      <c r="M41" s="5">
        <v>0</v>
      </c>
      <c r="N41" s="5">
        <v>1200</v>
      </c>
      <c r="O41" s="6">
        <v>0</v>
      </c>
    </row>
    <row r="42" spans="1:15">
      <c r="A42" s="7">
        <v>41</v>
      </c>
      <c r="B42" s="24" t="s">
        <v>67</v>
      </c>
      <c r="C42" s="24">
        <v>0</v>
      </c>
      <c r="D42" s="24">
        <v>0</v>
      </c>
      <c r="E42" s="24">
        <v>0</v>
      </c>
      <c r="F42" s="24">
        <v>0</v>
      </c>
      <c r="G42" s="24">
        <v>0</v>
      </c>
      <c r="H42" s="24">
        <v>0</v>
      </c>
      <c r="I42" s="24">
        <v>0</v>
      </c>
      <c r="J42" s="24">
        <v>0</v>
      </c>
      <c r="K42" s="24">
        <v>0</v>
      </c>
      <c r="L42" s="24">
        <v>0</v>
      </c>
      <c r="M42" s="24">
        <v>0</v>
      </c>
      <c r="N42" s="24">
        <v>0</v>
      </c>
      <c r="O42" s="25">
        <v>0</v>
      </c>
    </row>
    <row r="43" spans="1:15">
      <c r="A43" s="73">
        <v>42</v>
      </c>
      <c r="B43" s="27" t="s">
        <v>69</v>
      </c>
      <c r="C43" s="27">
        <v>0</v>
      </c>
      <c r="D43" s="27">
        <v>0</v>
      </c>
      <c r="E43" s="27">
        <v>0</v>
      </c>
      <c r="F43" s="27">
        <v>0</v>
      </c>
      <c r="G43" s="27">
        <v>0</v>
      </c>
      <c r="H43" s="27">
        <v>0</v>
      </c>
      <c r="I43" s="27">
        <v>0</v>
      </c>
      <c r="J43" s="27">
        <v>0</v>
      </c>
      <c r="K43" s="27">
        <v>0</v>
      </c>
      <c r="L43" s="27">
        <v>0</v>
      </c>
      <c r="M43" s="27">
        <v>0</v>
      </c>
      <c r="N43" s="27">
        <v>0</v>
      </c>
      <c r="O43" s="28">
        <v>0</v>
      </c>
    </row>
    <row r="44" ht="14.6" spans="1:15">
      <c r="A44" s="11">
        <v>43</v>
      </c>
      <c r="B44" s="5" t="s">
        <v>71</v>
      </c>
      <c r="C44" s="5">
        <v>0</v>
      </c>
      <c r="D44" s="5">
        <v>0</v>
      </c>
      <c r="E44" s="5">
        <v>0</v>
      </c>
      <c r="F44" s="5">
        <v>0</v>
      </c>
      <c r="G44" s="5">
        <v>0</v>
      </c>
      <c r="H44" s="5">
        <v>0</v>
      </c>
      <c r="I44" s="5">
        <v>0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  <c r="O44" s="6">
        <v>0</v>
      </c>
    </row>
  </sheetData>
  <pageMargins left="0.7" right="0.7" top="0.75" bottom="0.75" header="0.3" footer="0.3"/>
  <pageSetup paperSize="9" orientation="portrait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44"/>
  <sheetViews>
    <sheetView zoomScale="130" zoomScaleNormal="130" workbookViewId="0">
      <pane ySplit="1" topLeftCell="A2" activePane="bottomLeft" state="frozen"/>
      <selection/>
      <selection pane="bottomLeft" activeCell="K6" sqref="K6"/>
    </sheetView>
  </sheetViews>
  <sheetFormatPr defaultColWidth="9" defaultRowHeight="13.85"/>
  <cols>
    <col min="1" max="1" width="8.2212389380531" customWidth="1"/>
    <col min="2" max="2" width="7.10619469026549" customWidth="1"/>
    <col min="3" max="3" width="33.1061946902655" customWidth="1"/>
    <col min="4" max="4" width="34" customWidth="1"/>
    <col min="6" max="6" width="11" customWidth="1"/>
    <col min="7" max="7" width="12.2212389380531" customWidth="1"/>
    <col min="8" max="8" width="15.1061946902655" customWidth="1"/>
    <col min="9" max="9" width="19.3362831858407" customWidth="1"/>
    <col min="10" max="10" width="9.44247787610619" customWidth="1"/>
    <col min="11" max="11" width="19.1061946902655" customWidth="1"/>
    <col min="12" max="12" width="19.4424778761062" customWidth="1"/>
    <col min="13" max="13" width="19.8849557522124" customWidth="1"/>
    <col min="14" max="14" width="19" customWidth="1"/>
    <col min="19" max="19" width="9.55752212389381" customWidth="1"/>
  </cols>
  <sheetData>
    <row r="1" s="27" customFormat="1" ht="14.65" spans="1:14">
      <c r="A1" s="69" t="s">
        <v>17</v>
      </c>
      <c r="B1" s="70" t="s">
        <v>19</v>
      </c>
      <c r="C1" s="71" t="s">
        <v>304</v>
      </c>
      <c r="D1" s="71" t="s">
        <v>305</v>
      </c>
      <c r="E1" s="70" t="s">
        <v>306</v>
      </c>
      <c r="F1" s="70" t="s">
        <v>307</v>
      </c>
      <c r="G1" s="70" t="s">
        <v>308</v>
      </c>
      <c r="H1" s="70" t="s">
        <v>309</v>
      </c>
      <c r="I1" s="70" t="s">
        <v>310</v>
      </c>
      <c r="J1" s="70" t="s">
        <v>311</v>
      </c>
      <c r="K1" s="70" t="s">
        <v>312</v>
      </c>
      <c r="L1" s="70" t="s">
        <v>313</v>
      </c>
      <c r="M1" s="70" t="s">
        <v>315</v>
      </c>
      <c r="N1" s="72" t="s">
        <v>316</v>
      </c>
    </row>
    <row r="2" spans="1:14">
      <c r="A2" s="7">
        <v>1</v>
      </c>
      <c r="B2" s="24" t="s">
        <v>22</v>
      </c>
      <c r="C2" s="24">
        <v>0</v>
      </c>
      <c r="D2" s="24">
        <v>0</v>
      </c>
      <c r="E2" s="24">
        <v>2200</v>
      </c>
      <c r="F2" s="24">
        <v>0</v>
      </c>
      <c r="G2" s="24">
        <v>0</v>
      </c>
      <c r="H2" s="24">
        <v>0</v>
      </c>
      <c r="I2" s="24">
        <v>15719.035064125</v>
      </c>
      <c r="J2" s="24">
        <v>0</v>
      </c>
      <c r="K2" s="24">
        <v>0</v>
      </c>
      <c r="L2" s="24">
        <v>0</v>
      </c>
      <c r="M2" s="24">
        <v>0</v>
      </c>
      <c r="N2" s="25">
        <v>2500</v>
      </c>
    </row>
    <row r="3" spans="1:14">
      <c r="A3" s="73">
        <v>2</v>
      </c>
      <c r="B3" s="27" t="s">
        <v>22</v>
      </c>
      <c r="C3" s="27">
        <v>-1</v>
      </c>
      <c r="D3" s="27">
        <v>-1</v>
      </c>
      <c r="E3" s="27">
        <v>11000</v>
      </c>
      <c r="F3" s="27">
        <v>0</v>
      </c>
      <c r="G3" s="27">
        <v>0</v>
      </c>
      <c r="H3" s="27">
        <v>0</v>
      </c>
      <c r="I3" s="27">
        <v>19391.4629590135</v>
      </c>
      <c r="J3" s="27">
        <v>0</v>
      </c>
      <c r="K3" s="27">
        <v>0</v>
      </c>
      <c r="L3" s="27">
        <v>2249.22118380062</v>
      </c>
      <c r="M3" s="27">
        <v>0</v>
      </c>
      <c r="N3" s="28">
        <v>12500</v>
      </c>
    </row>
    <row r="4" spans="1:14">
      <c r="A4" s="73">
        <v>3</v>
      </c>
      <c r="B4" s="27" t="s">
        <v>22</v>
      </c>
      <c r="C4" s="27">
        <v>-1</v>
      </c>
      <c r="D4" s="27">
        <v>-1</v>
      </c>
      <c r="E4" s="27">
        <v>11000</v>
      </c>
      <c r="F4" s="27">
        <v>0</v>
      </c>
      <c r="G4" s="27">
        <v>0</v>
      </c>
      <c r="H4" s="27">
        <v>0</v>
      </c>
      <c r="I4" s="27">
        <v>19455.3879916421</v>
      </c>
      <c r="J4" s="27">
        <v>0</v>
      </c>
      <c r="K4" s="27">
        <v>0</v>
      </c>
      <c r="L4" s="27">
        <v>2750.77881619938</v>
      </c>
      <c r="M4" s="27">
        <v>0</v>
      </c>
      <c r="N4" s="28">
        <v>12500</v>
      </c>
    </row>
    <row r="5" ht="14.6" spans="1:14">
      <c r="A5" s="11">
        <v>4</v>
      </c>
      <c r="B5" s="5" t="s">
        <v>22</v>
      </c>
      <c r="C5" s="5">
        <v>-1</v>
      </c>
      <c r="D5" s="5">
        <v>-1</v>
      </c>
      <c r="E5" s="5">
        <v>8800</v>
      </c>
      <c r="F5" s="5">
        <v>0</v>
      </c>
      <c r="G5" s="5">
        <v>0</v>
      </c>
      <c r="H5" s="5">
        <v>0</v>
      </c>
      <c r="I5" s="5">
        <v>9215.64143854087</v>
      </c>
      <c r="J5" s="5">
        <v>0</v>
      </c>
      <c r="K5" s="5">
        <v>0</v>
      </c>
      <c r="L5" s="5">
        <v>0</v>
      </c>
      <c r="M5" s="5">
        <v>0</v>
      </c>
      <c r="N5" s="6">
        <v>-1</v>
      </c>
    </row>
    <row r="6" spans="1:14">
      <c r="A6" s="7">
        <v>5</v>
      </c>
      <c r="B6" s="24" t="s">
        <v>27</v>
      </c>
      <c r="C6" s="24">
        <v>-1</v>
      </c>
      <c r="D6" s="24">
        <v>-1</v>
      </c>
      <c r="E6" s="24">
        <v>22400</v>
      </c>
      <c r="F6" s="24">
        <v>0</v>
      </c>
      <c r="G6" s="24">
        <v>0</v>
      </c>
      <c r="H6" s="24">
        <v>0</v>
      </c>
      <c r="I6" s="24">
        <v>27719.5815150759</v>
      </c>
      <c r="J6" s="24">
        <v>0</v>
      </c>
      <c r="K6" s="24">
        <v>0</v>
      </c>
      <c r="L6" s="24">
        <v>0</v>
      </c>
      <c r="M6" s="24">
        <v>0</v>
      </c>
      <c r="N6" s="25">
        <v>-1</v>
      </c>
    </row>
    <row r="7" spans="1:14">
      <c r="A7" s="73">
        <v>6</v>
      </c>
      <c r="B7" s="27" t="s">
        <v>27</v>
      </c>
      <c r="C7" s="27">
        <v>-1</v>
      </c>
      <c r="D7" s="27">
        <v>-1</v>
      </c>
      <c r="E7" s="27">
        <v>11200</v>
      </c>
      <c r="F7" s="27">
        <v>0</v>
      </c>
      <c r="G7" s="27">
        <v>0</v>
      </c>
      <c r="H7" s="27">
        <v>863.671441473988</v>
      </c>
      <c r="I7" s="27">
        <v>38339.6489499235</v>
      </c>
      <c r="J7" s="27">
        <v>0</v>
      </c>
      <c r="K7" s="27">
        <v>0</v>
      </c>
      <c r="L7" s="27">
        <v>0</v>
      </c>
      <c r="M7" s="27">
        <v>2180</v>
      </c>
      <c r="N7" s="28">
        <v>-1</v>
      </c>
    </row>
    <row r="8" spans="1:14">
      <c r="A8" s="73">
        <v>7</v>
      </c>
      <c r="B8" s="27" t="s">
        <v>27</v>
      </c>
      <c r="C8" s="27">
        <v>-1</v>
      </c>
      <c r="D8" s="27">
        <v>-1</v>
      </c>
      <c r="E8" s="27">
        <v>5600</v>
      </c>
      <c r="F8" s="27">
        <v>0</v>
      </c>
      <c r="G8" s="27">
        <v>0</v>
      </c>
      <c r="H8" s="27">
        <v>4246.88095014451</v>
      </c>
      <c r="I8" s="27">
        <v>40694.412058321</v>
      </c>
      <c r="J8" s="27">
        <v>0</v>
      </c>
      <c r="K8" s="27">
        <v>19682.2144474433</v>
      </c>
      <c r="L8" s="27">
        <v>28344.009489917</v>
      </c>
      <c r="M8" s="27">
        <v>0</v>
      </c>
      <c r="N8" s="28">
        <v>-1</v>
      </c>
    </row>
    <row r="9" spans="1:14">
      <c r="A9" s="73">
        <v>8</v>
      </c>
      <c r="B9" s="27" t="s">
        <v>27</v>
      </c>
      <c r="C9" s="27">
        <v>-1</v>
      </c>
      <c r="D9" s="27">
        <v>-1</v>
      </c>
      <c r="E9" s="27">
        <v>11200</v>
      </c>
      <c r="F9" s="27">
        <v>0</v>
      </c>
      <c r="G9" s="27">
        <v>0</v>
      </c>
      <c r="H9" s="27">
        <v>0</v>
      </c>
      <c r="I9" s="27">
        <v>29620.8140068592</v>
      </c>
      <c r="J9" s="27">
        <v>0</v>
      </c>
      <c r="K9" s="27">
        <v>0</v>
      </c>
      <c r="L9" s="27">
        <v>0</v>
      </c>
      <c r="M9" s="27">
        <v>1965</v>
      </c>
      <c r="N9" s="28">
        <v>-1</v>
      </c>
    </row>
    <row r="10" spans="1:14">
      <c r="A10" s="73">
        <v>9</v>
      </c>
      <c r="B10" s="27" t="s">
        <v>27</v>
      </c>
      <c r="C10" s="27">
        <v>0</v>
      </c>
      <c r="D10" s="27">
        <v>0</v>
      </c>
      <c r="E10" s="27">
        <v>2800</v>
      </c>
      <c r="F10" s="27">
        <v>0</v>
      </c>
      <c r="G10" s="27">
        <v>0</v>
      </c>
      <c r="H10" s="27">
        <v>0</v>
      </c>
      <c r="I10" s="27">
        <v>81823.1483007761</v>
      </c>
      <c r="J10" s="27">
        <v>0</v>
      </c>
      <c r="K10" s="27">
        <v>17491.5754755956</v>
      </c>
      <c r="L10" s="27">
        <v>0</v>
      </c>
      <c r="M10" s="27">
        <v>0</v>
      </c>
      <c r="N10" s="28">
        <v>-1</v>
      </c>
    </row>
    <row r="11" spans="1:14">
      <c r="A11" s="73">
        <v>10</v>
      </c>
      <c r="B11" s="27" t="s">
        <v>27</v>
      </c>
      <c r="C11" s="27">
        <v>-1</v>
      </c>
      <c r="D11" s="27">
        <v>-1</v>
      </c>
      <c r="E11" s="27">
        <v>5600</v>
      </c>
      <c r="F11" s="27">
        <v>0</v>
      </c>
      <c r="G11" s="27">
        <v>0</v>
      </c>
      <c r="H11" s="27">
        <v>0</v>
      </c>
      <c r="I11" s="27">
        <v>21840.0975069912</v>
      </c>
      <c r="J11" s="27">
        <v>0</v>
      </c>
      <c r="K11" s="27">
        <v>0</v>
      </c>
      <c r="L11" s="27">
        <v>0</v>
      </c>
      <c r="M11" s="27">
        <v>3490</v>
      </c>
      <c r="N11" s="28">
        <v>-1</v>
      </c>
    </row>
    <row r="12" spans="1:14">
      <c r="A12" s="73">
        <v>11</v>
      </c>
      <c r="B12" s="27" t="s">
        <v>27</v>
      </c>
      <c r="C12" s="27">
        <v>-1</v>
      </c>
      <c r="D12" s="27">
        <v>-1</v>
      </c>
      <c r="E12" s="27">
        <v>2800</v>
      </c>
      <c r="F12" s="27">
        <v>0</v>
      </c>
      <c r="G12" s="27">
        <v>0</v>
      </c>
      <c r="H12" s="27">
        <v>0</v>
      </c>
      <c r="I12" s="27">
        <v>30366.9362331707</v>
      </c>
      <c r="J12" s="27">
        <v>0</v>
      </c>
      <c r="K12" s="27">
        <v>0</v>
      </c>
      <c r="L12" s="27">
        <v>0</v>
      </c>
      <c r="M12" s="27">
        <v>0</v>
      </c>
      <c r="N12" s="28">
        <v>-1</v>
      </c>
    </row>
    <row r="13" spans="1:14">
      <c r="A13" s="73">
        <v>12</v>
      </c>
      <c r="B13" s="27" t="s">
        <v>27</v>
      </c>
      <c r="C13" s="27">
        <v>-1</v>
      </c>
      <c r="D13" s="27">
        <v>-1</v>
      </c>
      <c r="E13" s="27">
        <v>2800</v>
      </c>
      <c r="F13" s="27">
        <v>0</v>
      </c>
      <c r="G13" s="27">
        <v>0</v>
      </c>
      <c r="H13" s="27">
        <v>2218.74215137283</v>
      </c>
      <c r="I13" s="27">
        <v>43707.3019647877</v>
      </c>
      <c r="J13" s="27">
        <v>0</v>
      </c>
      <c r="K13" s="27">
        <v>2518.81561388507</v>
      </c>
      <c r="L13" s="27">
        <v>9395.66483338725</v>
      </c>
      <c r="M13" s="27">
        <v>0</v>
      </c>
      <c r="N13" s="28">
        <v>-1</v>
      </c>
    </row>
    <row r="14" spans="1:14">
      <c r="A14" s="73">
        <v>13</v>
      </c>
      <c r="B14" s="27" t="s">
        <v>27</v>
      </c>
      <c r="C14" s="27">
        <v>0</v>
      </c>
      <c r="D14" s="27">
        <v>0</v>
      </c>
      <c r="E14" s="27">
        <v>2800</v>
      </c>
      <c r="F14" s="27">
        <v>0</v>
      </c>
      <c r="G14" s="27">
        <v>20000</v>
      </c>
      <c r="H14" s="27">
        <v>5464.95550036127</v>
      </c>
      <c r="I14" s="27">
        <v>51056.0780576025</v>
      </c>
      <c r="J14" s="27">
        <v>0</v>
      </c>
      <c r="K14" s="27">
        <v>5174.1718744572</v>
      </c>
      <c r="L14" s="27">
        <v>0</v>
      </c>
      <c r="M14" s="27">
        <v>0</v>
      </c>
      <c r="N14" s="28">
        <v>-1</v>
      </c>
    </row>
    <row r="15" spans="1:14">
      <c r="A15" s="73">
        <v>14</v>
      </c>
      <c r="B15" s="27" t="s">
        <v>27</v>
      </c>
      <c r="C15" s="27">
        <v>-1</v>
      </c>
      <c r="D15" s="27">
        <v>-1</v>
      </c>
      <c r="E15" s="27">
        <v>8400</v>
      </c>
      <c r="F15" s="27">
        <v>0</v>
      </c>
      <c r="G15" s="27">
        <v>0</v>
      </c>
      <c r="H15" s="27">
        <v>405.032124277457</v>
      </c>
      <c r="I15" s="27">
        <v>56958.9911889964</v>
      </c>
      <c r="J15" s="27">
        <v>0</v>
      </c>
      <c r="K15" s="27">
        <v>36779.7384075999</v>
      </c>
      <c r="L15" s="27">
        <v>27260.3256766958</v>
      </c>
      <c r="M15" s="27">
        <v>0</v>
      </c>
      <c r="N15" s="28">
        <v>-1</v>
      </c>
    </row>
    <row r="16" spans="1:14">
      <c r="A16" s="73">
        <v>15</v>
      </c>
      <c r="B16" s="27" t="s">
        <v>27</v>
      </c>
      <c r="C16" s="27">
        <v>-1</v>
      </c>
      <c r="D16" s="27">
        <v>-1</v>
      </c>
      <c r="E16" s="27">
        <v>5600</v>
      </c>
      <c r="F16" s="27">
        <v>0</v>
      </c>
      <c r="G16" s="27">
        <v>0</v>
      </c>
      <c r="H16" s="27">
        <v>5360.71929190751</v>
      </c>
      <c r="I16" s="27">
        <v>88006.3255089633</v>
      </c>
      <c r="J16" s="27">
        <v>0</v>
      </c>
      <c r="K16" s="27">
        <v>4940.61550512406</v>
      </c>
      <c r="L16" s="27">
        <v>0</v>
      </c>
      <c r="M16" s="27">
        <v>0</v>
      </c>
      <c r="N16" s="28">
        <v>-1</v>
      </c>
    </row>
    <row r="17" spans="1:14">
      <c r="A17" s="73">
        <v>16</v>
      </c>
      <c r="B17" s="27" t="s">
        <v>27</v>
      </c>
      <c r="C17" s="27">
        <v>-1</v>
      </c>
      <c r="D17" s="27">
        <v>-1</v>
      </c>
      <c r="E17" s="27">
        <v>2800</v>
      </c>
      <c r="F17" s="27">
        <v>0</v>
      </c>
      <c r="G17" s="27">
        <v>0</v>
      </c>
      <c r="H17" s="27">
        <v>14414.3785404624</v>
      </c>
      <c r="I17" s="27">
        <v>78191.9747274489</v>
      </c>
      <c r="J17" s="27">
        <v>0</v>
      </c>
      <c r="K17" s="27">
        <v>3054.19867589487</v>
      </c>
      <c r="L17" s="27">
        <v>0</v>
      </c>
      <c r="M17" s="27">
        <v>0</v>
      </c>
      <c r="N17" s="28">
        <v>-1</v>
      </c>
    </row>
    <row r="18" ht="14.6" spans="1:14">
      <c r="A18" s="11">
        <v>17</v>
      </c>
      <c r="B18" s="5" t="s">
        <v>27</v>
      </c>
      <c r="C18" s="5">
        <v>-1</v>
      </c>
      <c r="D18" s="5">
        <v>-1</v>
      </c>
      <c r="E18" s="5">
        <v>2800</v>
      </c>
      <c r="F18" s="5">
        <v>0</v>
      </c>
      <c r="G18" s="5">
        <v>0</v>
      </c>
      <c r="H18" s="5">
        <v>0</v>
      </c>
      <c r="I18" s="5">
        <v>26342.7799810835</v>
      </c>
      <c r="J18" s="5">
        <v>0</v>
      </c>
      <c r="K18" s="5">
        <v>0</v>
      </c>
      <c r="L18" s="5">
        <v>0</v>
      </c>
      <c r="M18" s="5">
        <v>7000</v>
      </c>
      <c r="N18" s="6">
        <v>-1</v>
      </c>
    </row>
    <row r="19" spans="1:14">
      <c r="A19" s="7">
        <v>18</v>
      </c>
      <c r="B19" s="24" t="s">
        <v>41</v>
      </c>
      <c r="C19" s="24">
        <v>-1</v>
      </c>
      <c r="D19" s="24">
        <v>-1</v>
      </c>
      <c r="E19" s="24">
        <v>4500</v>
      </c>
      <c r="F19" s="24">
        <v>1276</v>
      </c>
      <c r="G19" s="24">
        <v>0</v>
      </c>
      <c r="H19" s="24">
        <v>0</v>
      </c>
      <c r="I19" s="24">
        <v>22229.2291981274</v>
      </c>
      <c r="J19" s="24">
        <v>0</v>
      </c>
      <c r="K19" s="24">
        <v>0</v>
      </c>
      <c r="L19" s="24">
        <v>0</v>
      </c>
      <c r="M19" s="24">
        <v>4600</v>
      </c>
      <c r="N19" s="25">
        <v>-1</v>
      </c>
    </row>
    <row r="20" spans="1:14">
      <c r="A20" s="73">
        <v>19</v>
      </c>
      <c r="B20" s="27" t="s">
        <v>41</v>
      </c>
      <c r="C20" s="27">
        <v>-1</v>
      </c>
      <c r="D20" s="27">
        <v>-1</v>
      </c>
      <c r="E20" s="27">
        <v>4500</v>
      </c>
      <c r="F20" s="27">
        <v>0</v>
      </c>
      <c r="G20" s="27">
        <v>0</v>
      </c>
      <c r="H20" s="27">
        <v>0</v>
      </c>
      <c r="I20" s="27">
        <v>18803.8644852579</v>
      </c>
      <c r="J20" s="27">
        <v>0</v>
      </c>
      <c r="K20" s="27">
        <v>0</v>
      </c>
      <c r="L20" s="27">
        <v>0</v>
      </c>
      <c r="M20" s="27">
        <v>460</v>
      </c>
      <c r="N20" s="28">
        <v>-1</v>
      </c>
    </row>
    <row r="21" spans="1:14">
      <c r="A21" s="73">
        <v>20</v>
      </c>
      <c r="B21" s="27" t="s">
        <v>41</v>
      </c>
      <c r="C21" s="27">
        <v>0</v>
      </c>
      <c r="D21" s="27">
        <v>0</v>
      </c>
      <c r="E21" s="27">
        <v>4500</v>
      </c>
      <c r="F21" s="27">
        <v>1276</v>
      </c>
      <c r="G21" s="27">
        <v>10000</v>
      </c>
      <c r="H21" s="27">
        <v>3394.73477100934</v>
      </c>
      <c r="I21" s="27">
        <v>27297.3410881636</v>
      </c>
      <c r="J21" s="27">
        <v>0</v>
      </c>
      <c r="K21" s="27">
        <v>0</v>
      </c>
      <c r="L21" s="27">
        <v>0</v>
      </c>
      <c r="M21" s="27">
        <v>5700</v>
      </c>
      <c r="N21" s="28">
        <v>-1</v>
      </c>
    </row>
    <row r="22" spans="1:14">
      <c r="A22" s="73">
        <v>21</v>
      </c>
      <c r="B22" s="27" t="s">
        <v>41</v>
      </c>
      <c r="C22" s="27">
        <v>0</v>
      </c>
      <c r="D22" s="27">
        <v>0</v>
      </c>
      <c r="E22" s="27">
        <v>4500</v>
      </c>
      <c r="F22" s="27">
        <v>855</v>
      </c>
      <c r="G22" s="27">
        <v>0</v>
      </c>
      <c r="H22" s="27">
        <v>0</v>
      </c>
      <c r="I22" s="27">
        <v>31024.7558291541</v>
      </c>
      <c r="J22" s="27">
        <v>0</v>
      </c>
      <c r="K22" s="27">
        <v>20974.58</v>
      </c>
      <c r="L22" s="27">
        <v>0</v>
      </c>
      <c r="M22" s="27">
        <v>11600</v>
      </c>
      <c r="N22" s="28">
        <v>-1</v>
      </c>
    </row>
    <row r="23" spans="1:14">
      <c r="A23" s="73">
        <v>22</v>
      </c>
      <c r="B23" s="27" t="s">
        <v>41</v>
      </c>
      <c r="C23" s="27">
        <v>-1</v>
      </c>
      <c r="D23" s="27">
        <v>-1</v>
      </c>
      <c r="E23" s="27">
        <v>4500</v>
      </c>
      <c r="F23" s="27">
        <v>0</v>
      </c>
      <c r="G23" s="27">
        <v>7500</v>
      </c>
      <c r="H23" s="27">
        <v>0</v>
      </c>
      <c r="I23" s="27">
        <v>34223.1291495274</v>
      </c>
      <c r="J23" s="27">
        <v>0</v>
      </c>
      <c r="K23" s="27">
        <v>0</v>
      </c>
      <c r="L23" s="27">
        <v>5558.22639695278</v>
      </c>
      <c r="M23" s="27">
        <v>0</v>
      </c>
      <c r="N23" s="28">
        <v>-1</v>
      </c>
    </row>
    <row r="24" spans="1:14">
      <c r="A24" s="73">
        <v>23</v>
      </c>
      <c r="B24" s="27" t="s">
        <v>41</v>
      </c>
      <c r="C24" s="27">
        <v>-1</v>
      </c>
      <c r="D24" s="27">
        <v>-1</v>
      </c>
      <c r="E24" s="27">
        <v>4500</v>
      </c>
      <c r="F24" s="27">
        <v>2777</v>
      </c>
      <c r="G24" s="27">
        <v>3000</v>
      </c>
      <c r="H24" s="27">
        <v>98070.1156069364</v>
      </c>
      <c r="I24" s="27">
        <v>11166.9072677472</v>
      </c>
      <c r="J24" s="27">
        <v>0</v>
      </c>
      <c r="K24" s="27">
        <v>0</v>
      </c>
      <c r="L24" s="27">
        <v>6951.66598868385</v>
      </c>
      <c r="M24" s="27">
        <v>6100</v>
      </c>
      <c r="N24" s="28">
        <v>-1</v>
      </c>
    </row>
    <row r="25" spans="1:14">
      <c r="A25" s="73">
        <v>24</v>
      </c>
      <c r="B25" s="27" t="s">
        <v>41</v>
      </c>
      <c r="C25" s="27">
        <v>-1</v>
      </c>
      <c r="D25" s="27">
        <v>-1</v>
      </c>
      <c r="E25" s="27">
        <v>4500</v>
      </c>
      <c r="F25" s="27">
        <v>0</v>
      </c>
      <c r="G25" s="27">
        <v>0</v>
      </c>
      <c r="H25" s="27">
        <v>0</v>
      </c>
      <c r="I25" s="27">
        <v>12981.4461641416</v>
      </c>
      <c r="J25" s="27">
        <v>0</v>
      </c>
      <c r="K25" s="27">
        <v>0</v>
      </c>
      <c r="L25" s="27">
        <v>4459.89423468067</v>
      </c>
      <c r="M25" s="27">
        <v>0</v>
      </c>
      <c r="N25" s="28">
        <v>-1</v>
      </c>
    </row>
    <row r="26" spans="1:14">
      <c r="A26" s="73">
        <v>25</v>
      </c>
      <c r="B26" s="27" t="s">
        <v>41</v>
      </c>
      <c r="C26" s="27">
        <v>-1</v>
      </c>
      <c r="D26" s="27">
        <v>-1</v>
      </c>
      <c r="E26" s="27">
        <v>4500</v>
      </c>
      <c r="F26" s="27">
        <v>0</v>
      </c>
      <c r="G26" s="27">
        <v>0</v>
      </c>
      <c r="H26" s="27">
        <v>20368.408626056</v>
      </c>
      <c r="I26" s="27">
        <v>48093.6620607745</v>
      </c>
      <c r="J26" s="27">
        <v>0</v>
      </c>
      <c r="K26" s="27">
        <v>0</v>
      </c>
      <c r="L26" s="27">
        <v>7288.93162235124</v>
      </c>
      <c r="M26" s="27">
        <v>1900</v>
      </c>
      <c r="N26" s="28">
        <v>-1</v>
      </c>
    </row>
    <row r="27" spans="1:14">
      <c r="A27" s="73">
        <v>26</v>
      </c>
      <c r="B27" s="27" t="s">
        <v>41</v>
      </c>
      <c r="C27" s="27">
        <v>-1</v>
      </c>
      <c r="D27" s="27">
        <v>-1</v>
      </c>
      <c r="E27" s="27">
        <v>4500</v>
      </c>
      <c r="F27" s="27">
        <v>0</v>
      </c>
      <c r="G27" s="27">
        <v>0</v>
      </c>
      <c r="H27" s="27">
        <v>6789.46954201867</v>
      </c>
      <c r="I27" s="27">
        <v>30502.8315576932</v>
      </c>
      <c r="J27" s="27">
        <v>0</v>
      </c>
      <c r="K27" s="27">
        <v>0</v>
      </c>
      <c r="L27" s="27">
        <v>0</v>
      </c>
      <c r="M27" s="27">
        <v>800</v>
      </c>
      <c r="N27" s="28">
        <v>-1</v>
      </c>
    </row>
    <row r="28" spans="1:14">
      <c r="A28" s="73">
        <v>27</v>
      </c>
      <c r="B28" s="27" t="s">
        <v>41</v>
      </c>
      <c r="C28" s="27">
        <v>0</v>
      </c>
      <c r="D28" s="27">
        <v>0</v>
      </c>
      <c r="E28" s="27">
        <v>4500</v>
      </c>
      <c r="F28" s="27">
        <v>965</v>
      </c>
      <c r="G28" s="27">
        <v>0</v>
      </c>
      <c r="H28" s="27">
        <v>17916.6557358826</v>
      </c>
      <c r="I28" s="27">
        <v>26563.3391373838</v>
      </c>
      <c r="J28" s="27">
        <v>0</v>
      </c>
      <c r="K28" s="27">
        <v>0</v>
      </c>
      <c r="L28" s="27">
        <v>0</v>
      </c>
      <c r="M28" s="27">
        <v>8600</v>
      </c>
      <c r="N28" s="28">
        <v>-1</v>
      </c>
    </row>
    <row r="29" ht="14.6" spans="1:14">
      <c r="A29" s="11">
        <v>28</v>
      </c>
      <c r="B29" s="5" t="s">
        <v>41</v>
      </c>
      <c r="C29" s="5">
        <v>-1</v>
      </c>
      <c r="D29" s="5">
        <v>-1</v>
      </c>
      <c r="E29" s="5">
        <v>4500</v>
      </c>
      <c r="F29" s="5">
        <v>0</v>
      </c>
      <c r="G29" s="5">
        <v>7500</v>
      </c>
      <c r="H29" s="5">
        <v>23121.9157180969</v>
      </c>
      <c r="I29" s="5">
        <v>21268.4140620291</v>
      </c>
      <c r="J29" s="5">
        <v>0</v>
      </c>
      <c r="K29" s="5">
        <v>0</v>
      </c>
      <c r="L29" s="5">
        <v>5741.28175733146</v>
      </c>
      <c r="M29" s="5">
        <v>1700</v>
      </c>
      <c r="N29" s="6">
        <v>-1</v>
      </c>
    </row>
    <row r="30" spans="1:14">
      <c r="A30" s="7">
        <v>29</v>
      </c>
      <c r="B30" s="24" t="s">
        <v>53</v>
      </c>
      <c r="C30" s="24">
        <v>-1</v>
      </c>
      <c r="D30" s="24">
        <v>-1</v>
      </c>
      <c r="E30" s="24">
        <v>330</v>
      </c>
      <c r="F30" s="24">
        <v>0</v>
      </c>
      <c r="G30" s="24">
        <v>0</v>
      </c>
      <c r="H30" s="24">
        <v>0</v>
      </c>
      <c r="I30" s="24">
        <v>60663.0602229618</v>
      </c>
      <c r="J30" s="24">
        <v>0</v>
      </c>
      <c r="K30" s="24">
        <v>0</v>
      </c>
      <c r="L30" s="24">
        <v>0</v>
      </c>
      <c r="M30" s="24">
        <v>3600</v>
      </c>
      <c r="N30" s="25">
        <v>-1</v>
      </c>
    </row>
    <row r="31" spans="1:14">
      <c r="A31" s="73">
        <v>30</v>
      </c>
      <c r="B31" s="27" t="s">
        <v>53</v>
      </c>
      <c r="C31" s="27">
        <v>-1</v>
      </c>
      <c r="D31" s="27">
        <v>-1</v>
      </c>
      <c r="E31" s="27">
        <v>1320</v>
      </c>
      <c r="F31" s="27">
        <v>0</v>
      </c>
      <c r="G31" s="27">
        <v>0</v>
      </c>
      <c r="H31" s="27">
        <v>40761.7924528302</v>
      </c>
      <c r="I31" s="27">
        <v>172664.946251671</v>
      </c>
      <c r="J31" s="27">
        <v>0</v>
      </c>
      <c r="K31" s="27">
        <v>8026.32820118874</v>
      </c>
      <c r="L31" s="27">
        <v>0</v>
      </c>
      <c r="M31" s="27">
        <v>9400</v>
      </c>
      <c r="N31" s="28">
        <v>-1</v>
      </c>
    </row>
    <row r="32" spans="1:14">
      <c r="A32" s="73">
        <v>31</v>
      </c>
      <c r="B32" s="27" t="s">
        <v>53</v>
      </c>
      <c r="C32" s="27">
        <v>-1</v>
      </c>
      <c r="D32" s="27">
        <v>-1</v>
      </c>
      <c r="E32" s="27">
        <v>330</v>
      </c>
      <c r="F32" s="27">
        <v>1447.5</v>
      </c>
      <c r="G32" s="27">
        <v>0</v>
      </c>
      <c r="H32" s="27">
        <v>8061.77672955975</v>
      </c>
      <c r="I32" s="27">
        <v>18377.6247712955</v>
      </c>
      <c r="J32" s="27">
        <v>0</v>
      </c>
      <c r="K32" s="27">
        <v>0</v>
      </c>
      <c r="L32" s="27">
        <v>0</v>
      </c>
      <c r="M32" s="27">
        <v>11000</v>
      </c>
      <c r="N32" s="28">
        <v>-1</v>
      </c>
    </row>
    <row r="33" spans="1:18">
      <c r="A33" s="73">
        <v>32</v>
      </c>
      <c r="B33" s="27" t="s">
        <v>53</v>
      </c>
      <c r="C33" s="27">
        <v>-1</v>
      </c>
      <c r="D33" s="27">
        <v>-1</v>
      </c>
      <c r="E33" s="27">
        <v>990</v>
      </c>
      <c r="F33" s="27">
        <v>0</v>
      </c>
      <c r="G33" s="27">
        <v>0</v>
      </c>
      <c r="H33" s="27">
        <v>0</v>
      </c>
      <c r="I33" s="27">
        <v>182822.140958094</v>
      </c>
      <c r="J33" s="27">
        <v>0</v>
      </c>
      <c r="K33" s="27">
        <v>20926.0891575846</v>
      </c>
      <c r="L33" s="27">
        <v>0</v>
      </c>
      <c r="M33" s="27">
        <v>4300</v>
      </c>
      <c r="N33" s="28">
        <v>-1</v>
      </c>
    </row>
    <row r="34" spans="1:18">
      <c r="A34" s="73">
        <v>33</v>
      </c>
      <c r="B34" s="27" t="s">
        <v>53</v>
      </c>
      <c r="C34" s="27">
        <v>-1</v>
      </c>
      <c r="D34" s="27">
        <v>-1</v>
      </c>
      <c r="E34" s="27">
        <v>1320</v>
      </c>
      <c r="F34" s="27">
        <v>0</v>
      </c>
      <c r="G34" s="27">
        <v>0</v>
      </c>
      <c r="H34" s="27">
        <v>19022.1698113207</v>
      </c>
      <c r="I34" s="27">
        <v>129060.498324404</v>
      </c>
      <c r="J34" s="27">
        <v>0</v>
      </c>
      <c r="K34" s="27">
        <v>68142.0626412267</v>
      </c>
      <c r="L34" s="27">
        <v>0</v>
      </c>
      <c r="M34" s="27">
        <v>800</v>
      </c>
      <c r="N34" s="28">
        <v>-1</v>
      </c>
    </row>
    <row r="35" spans="1:18">
      <c r="A35" s="73">
        <v>34</v>
      </c>
      <c r="B35" s="27" t="s">
        <v>53</v>
      </c>
      <c r="C35" s="27">
        <v>-1</v>
      </c>
      <c r="D35" s="27">
        <v>-1</v>
      </c>
      <c r="E35" s="27">
        <v>330</v>
      </c>
      <c r="F35" s="27">
        <v>0</v>
      </c>
      <c r="G35" s="27">
        <v>0</v>
      </c>
      <c r="H35" s="27">
        <v>56486.786163522</v>
      </c>
      <c r="I35" s="27">
        <v>23066.0685177736</v>
      </c>
      <c r="J35" s="27">
        <v>0</v>
      </c>
      <c r="K35" s="27">
        <v>0</v>
      </c>
      <c r="L35" s="27">
        <v>0</v>
      </c>
      <c r="M35" s="27">
        <v>0</v>
      </c>
      <c r="N35" s="28">
        <v>-1</v>
      </c>
    </row>
    <row r="36" spans="1:18">
      <c r="A36" s="73">
        <v>35</v>
      </c>
      <c r="B36" s="27" t="s">
        <v>53</v>
      </c>
      <c r="C36" s="27">
        <v>-1</v>
      </c>
      <c r="D36" s="27">
        <v>-1</v>
      </c>
      <c r="E36" s="27">
        <v>330</v>
      </c>
      <c r="F36" s="27">
        <v>0</v>
      </c>
      <c r="G36" s="27">
        <v>0</v>
      </c>
      <c r="H36" s="27">
        <v>14130.7547169811</v>
      </c>
      <c r="I36" s="27">
        <v>64523.7260300357</v>
      </c>
      <c r="J36" s="27">
        <v>0</v>
      </c>
      <c r="K36" s="27">
        <v>0</v>
      </c>
      <c r="L36" s="27">
        <v>0</v>
      </c>
      <c r="M36" s="27">
        <v>0</v>
      </c>
      <c r="N36" s="28">
        <v>-1</v>
      </c>
    </row>
    <row r="37" ht="14.6" spans="1:18">
      <c r="A37" s="11">
        <v>36</v>
      </c>
      <c r="B37" s="5" t="s">
        <v>53</v>
      </c>
      <c r="C37" s="5">
        <v>-1</v>
      </c>
      <c r="D37" s="5">
        <v>-1</v>
      </c>
      <c r="E37" s="5">
        <v>330</v>
      </c>
      <c r="F37" s="5">
        <v>482.5</v>
      </c>
      <c r="G37" s="5">
        <v>0</v>
      </c>
      <c r="H37" s="5">
        <v>2681.22012578616</v>
      </c>
      <c r="I37" s="5">
        <v>6125.87492376515</v>
      </c>
      <c r="J37" s="5">
        <v>0</v>
      </c>
      <c r="K37" s="5">
        <v>0</v>
      </c>
      <c r="L37" s="5">
        <v>0</v>
      </c>
      <c r="M37" s="5">
        <v>2700</v>
      </c>
      <c r="N37" s="6">
        <v>-1</v>
      </c>
    </row>
    <row r="38" spans="1:18">
      <c r="A38" s="7">
        <v>37</v>
      </c>
      <c r="B38" s="24" t="s">
        <v>62</v>
      </c>
      <c r="C38" s="24">
        <v>-1</v>
      </c>
      <c r="D38" s="24">
        <v>-1</v>
      </c>
      <c r="E38" s="24">
        <v>800</v>
      </c>
      <c r="F38" s="24">
        <v>699</v>
      </c>
      <c r="G38" s="24">
        <v>3000</v>
      </c>
      <c r="H38" s="24">
        <v>51185.4</v>
      </c>
      <c r="I38" s="24">
        <v>52175.0276591237</v>
      </c>
      <c r="J38" s="24">
        <v>0</v>
      </c>
      <c r="K38" s="24">
        <v>840.358033547992</v>
      </c>
      <c r="L38" s="24">
        <v>0</v>
      </c>
      <c r="M38" s="24">
        <v>0</v>
      </c>
      <c r="N38" s="25">
        <v>-1</v>
      </c>
      <c r="R38" s="68"/>
    </row>
    <row r="39" spans="1:18">
      <c r="A39" s="73">
        <v>38</v>
      </c>
      <c r="B39" s="27" t="s">
        <v>62</v>
      </c>
      <c r="C39" s="27">
        <v>-1</v>
      </c>
      <c r="D39" s="27">
        <v>-1</v>
      </c>
      <c r="E39" s="27">
        <v>800</v>
      </c>
      <c r="F39" s="27">
        <v>7505</v>
      </c>
      <c r="G39" s="27">
        <v>10000</v>
      </c>
      <c r="H39" s="27">
        <v>51185.4</v>
      </c>
      <c r="I39" s="27">
        <v>30312.9049178945</v>
      </c>
      <c r="J39" s="27">
        <v>0</v>
      </c>
      <c r="K39" s="27">
        <v>1680.26539746177</v>
      </c>
      <c r="L39" s="27">
        <v>25846.1538461538</v>
      </c>
      <c r="M39" s="27">
        <v>0</v>
      </c>
      <c r="N39" s="28">
        <v>-1</v>
      </c>
    </row>
    <row r="40" spans="1:18">
      <c r="A40" s="73">
        <v>39</v>
      </c>
      <c r="B40" s="27" t="s">
        <v>62</v>
      </c>
      <c r="C40" s="27">
        <v>-1</v>
      </c>
      <c r="D40" s="27">
        <v>-1</v>
      </c>
      <c r="E40" s="27">
        <v>2400</v>
      </c>
      <c r="F40" s="27">
        <v>0</v>
      </c>
      <c r="G40" s="27">
        <v>0</v>
      </c>
      <c r="H40" s="27">
        <v>153556.2</v>
      </c>
      <c r="I40" s="27">
        <v>70118.3257206088</v>
      </c>
      <c r="J40" s="27">
        <v>0</v>
      </c>
      <c r="K40" s="27">
        <v>4706.58039641958</v>
      </c>
      <c r="L40" s="27">
        <v>0</v>
      </c>
      <c r="M40" s="27">
        <v>11100</v>
      </c>
      <c r="N40" s="28">
        <v>-1</v>
      </c>
    </row>
    <row r="41" ht="14.6" spans="1:18">
      <c r="A41" s="11">
        <v>40</v>
      </c>
      <c r="B41" s="5" t="s">
        <v>62</v>
      </c>
      <c r="C41" s="5">
        <v>-1</v>
      </c>
      <c r="D41" s="5">
        <v>-1</v>
      </c>
      <c r="E41" s="5">
        <v>3200</v>
      </c>
      <c r="F41" s="5">
        <v>3935</v>
      </c>
      <c r="G41" s="5">
        <v>7500</v>
      </c>
      <c r="H41" s="5">
        <v>204741.6</v>
      </c>
      <c r="I41" s="5">
        <v>60765.841702373</v>
      </c>
      <c r="J41" s="5">
        <v>0</v>
      </c>
      <c r="K41" s="5">
        <v>2000.46617257066</v>
      </c>
      <c r="L41" s="5">
        <v>22153.8461538461</v>
      </c>
      <c r="M41" s="5">
        <v>3500</v>
      </c>
      <c r="N41" s="6">
        <v>-1</v>
      </c>
    </row>
    <row r="42" spans="1:18">
      <c r="A42" s="7">
        <v>41</v>
      </c>
      <c r="B42" s="24" t="s">
        <v>67</v>
      </c>
      <c r="C42" s="24">
        <v>16000</v>
      </c>
      <c r="D42" s="24">
        <v>0</v>
      </c>
      <c r="E42" s="24">
        <v>0</v>
      </c>
      <c r="F42" s="24">
        <v>0</v>
      </c>
      <c r="G42" s="24">
        <v>0</v>
      </c>
      <c r="H42" s="24">
        <v>32000</v>
      </c>
      <c r="I42" s="24">
        <v>0</v>
      </c>
      <c r="J42" s="24">
        <v>1200</v>
      </c>
      <c r="K42" s="24">
        <v>16000</v>
      </c>
      <c r="L42" s="24">
        <v>0</v>
      </c>
      <c r="M42" s="24">
        <v>0</v>
      </c>
      <c r="N42" s="25">
        <v>-1</v>
      </c>
    </row>
    <row r="43" spans="1:18">
      <c r="A43" s="73">
        <v>42</v>
      </c>
      <c r="B43" s="27" t="s">
        <v>69</v>
      </c>
      <c r="C43" s="27">
        <v>18000</v>
      </c>
      <c r="D43" s="27">
        <v>0</v>
      </c>
      <c r="E43" s="27">
        <v>0</v>
      </c>
      <c r="F43" s="27">
        <v>0</v>
      </c>
      <c r="G43" s="27">
        <v>0</v>
      </c>
      <c r="H43" s="27">
        <v>14000</v>
      </c>
      <c r="I43" s="27">
        <v>0</v>
      </c>
      <c r="J43" s="27">
        <v>0</v>
      </c>
      <c r="K43" s="27">
        <v>30000</v>
      </c>
      <c r="L43" s="27">
        <v>0</v>
      </c>
      <c r="M43" s="27">
        <v>0</v>
      </c>
      <c r="N43" s="28">
        <v>-1</v>
      </c>
    </row>
    <row r="44" ht="14.6" spans="1:18">
      <c r="A44" s="11">
        <v>43</v>
      </c>
      <c r="B44" s="5" t="s">
        <v>71</v>
      </c>
      <c r="C44" s="5">
        <v>18000</v>
      </c>
      <c r="D44" s="5">
        <v>0</v>
      </c>
      <c r="E44" s="5">
        <v>0</v>
      </c>
      <c r="F44" s="5">
        <v>0</v>
      </c>
      <c r="G44" s="5">
        <v>0</v>
      </c>
      <c r="H44" s="5">
        <v>40000</v>
      </c>
      <c r="I44" s="5">
        <v>0</v>
      </c>
      <c r="J44" s="5">
        <v>0</v>
      </c>
      <c r="K44" s="5">
        <v>16000</v>
      </c>
      <c r="L44" s="5">
        <v>0</v>
      </c>
      <c r="M44" s="5">
        <v>0</v>
      </c>
      <c r="N44" s="6">
        <v>-1</v>
      </c>
    </row>
  </sheetData>
  <pageMargins left="0.7" right="0.7" top="0.75" bottom="0.75" header="0.3" footer="0.3"/>
  <pageSetup paperSize="9" orientation="portrait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8"/>
  <sheetViews>
    <sheetView zoomScale="205" zoomScaleNormal="205" workbookViewId="0">
      <selection activeCell="A1" sqref="A1"/>
    </sheetView>
  </sheetViews>
  <sheetFormatPr defaultColWidth="9" defaultRowHeight="13.85"/>
  <cols>
    <col min="1" max="1" width="17.4424778761062" customWidth="1"/>
    <col min="2" max="2" width="15.6637168141593" customWidth="1"/>
  </cols>
  <sheetData>
    <row r="1" ht="28.5" spans="1:10">
      <c r="A1" s="56" t="s">
        <v>317</v>
      </c>
      <c r="B1" s="30" t="s">
        <v>318</v>
      </c>
      <c r="C1" s="2" t="s">
        <v>319</v>
      </c>
      <c r="D1" s="2" t="s">
        <v>320</v>
      </c>
      <c r="E1" s="2" t="s">
        <v>321</v>
      </c>
      <c r="F1" s="2" t="s">
        <v>322</v>
      </c>
      <c r="G1" s="2" t="s">
        <v>323</v>
      </c>
      <c r="H1" s="2" t="s">
        <v>324</v>
      </c>
      <c r="I1" s="2" t="s">
        <v>325</v>
      </c>
      <c r="J1" s="3" t="s">
        <v>326</v>
      </c>
    </row>
    <row r="2" ht="28.5" spans="1:10">
      <c r="A2" s="33">
        <v>1</v>
      </c>
      <c r="B2" s="34" t="s">
        <v>327</v>
      </c>
      <c r="C2" s="62">
        <v>350</v>
      </c>
      <c r="D2" s="62">
        <v>335.684846235543</v>
      </c>
      <c r="E2" s="62">
        <v>329.067825753775</v>
      </c>
      <c r="F2" s="62">
        <v>322.771403959861</v>
      </c>
      <c r="G2" s="62">
        <v>317.196721674844</v>
      </c>
      <c r="H2" s="62">
        <v>311.112030525503</v>
      </c>
      <c r="I2" s="62">
        <v>305.1764786</v>
      </c>
      <c r="J2" s="63">
        <v>299.232271835</v>
      </c>
    </row>
    <row r="3" ht="28.5" spans="1:10">
      <c r="A3" s="47">
        <v>2</v>
      </c>
      <c r="B3" s="48" t="s">
        <v>328</v>
      </c>
      <c r="C3" s="64">
        <v>420</v>
      </c>
      <c r="D3" s="64">
        <v>402.821815482652</v>
      </c>
      <c r="E3" s="64">
        <v>394.88139090453</v>
      </c>
      <c r="F3" s="64">
        <v>387.325684751833</v>
      </c>
      <c r="G3" s="64">
        <v>380.636066009813</v>
      </c>
      <c r="H3" s="64">
        <v>373.334436630603</v>
      </c>
      <c r="I3" s="64">
        <v>366.21177432</v>
      </c>
      <c r="J3" s="65">
        <v>359.078726202</v>
      </c>
    </row>
    <row r="4" ht="14.65" spans="1:10">
      <c r="A4" s="47">
        <v>3</v>
      </c>
      <c r="B4" s="48" t="s">
        <v>329</v>
      </c>
      <c r="C4" s="64">
        <v>200</v>
      </c>
      <c r="D4" s="64">
        <v>186.201526230051</v>
      </c>
      <c r="E4" s="64">
        <v>182.130892300064</v>
      </c>
      <c r="F4" s="64">
        <v>179.063767174624</v>
      </c>
      <c r="G4" s="64">
        <v>176.446853019804</v>
      </c>
      <c r="H4" s="64">
        <v>173.535343609903</v>
      </c>
      <c r="I4" s="64">
        <v>170.6933239</v>
      </c>
      <c r="J4" s="65">
        <v>167.85296784</v>
      </c>
    </row>
    <row r="5" ht="14.65" spans="1:10">
      <c r="A5" s="47">
        <v>4</v>
      </c>
      <c r="B5" s="48" t="s">
        <v>330</v>
      </c>
      <c r="C5" s="64">
        <v>1400</v>
      </c>
      <c r="D5" s="64">
        <v>1442.57155989994</v>
      </c>
      <c r="E5" s="64">
        <v>1464.34035481775</v>
      </c>
      <c r="F5" s="64">
        <v>1486.43764673725</v>
      </c>
      <c r="G5" s="64">
        <v>1508.86839276705</v>
      </c>
      <c r="H5" s="64">
        <v>1531.63762481983</v>
      </c>
      <c r="I5" s="64">
        <v>1553.9016444</v>
      </c>
      <c r="J5" s="65">
        <v>1576.33390026</v>
      </c>
    </row>
    <row r="6" ht="14.65" spans="1:10">
      <c r="A6" s="47">
        <v>5</v>
      </c>
      <c r="B6" s="48" t="s">
        <v>331</v>
      </c>
      <c r="C6" s="64">
        <v>1750</v>
      </c>
      <c r="D6" s="64">
        <v>1653.7878</v>
      </c>
      <c r="E6" s="64">
        <v>1599.787875</v>
      </c>
      <c r="F6" s="64">
        <v>1542.499</v>
      </c>
      <c r="G6" s="64">
        <v>1487.8794</v>
      </c>
      <c r="H6" s="64">
        <v>1431.478475</v>
      </c>
      <c r="I6" s="64">
        <v>1375.5242375</v>
      </c>
      <c r="J6" s="65">
        <v>1319.5694575</v>
      </c>
    </row>
    <row r="7" ht="14.65" spans="1:10">
      <c r="A7" s="47">
        <v>11</v>
      </c>
      <c r="B7" s="48" t="s">
        <v>332</v>
      </c>
      <c r="C7" s="64">
        <v>420</v>
      </c>
      <c r="D7" s="64">
        <v>314.243903448276</v>
      </c>
      <c r="E7" s="64">
        <v>264.840896551724</v>
      </c>
      <c r="F7" s="64">
        <v>252.716993103448</v>
      </c>
      <c r="G7" s="64">
        <v>240.593089655172</v>
      </c>
      <c r="H7" s="64">
        <v>228.469186206897</v>
      </c>
      <c r="I7" s="64">
        <v>216.345282758621</v>
      </c>
      <c r="J7" s="65">
        <v>204.221379310345</v>
      </c>
    </row>
    <row r="8" ht="14.65" spans="1:10">
      <c r="A8" s="47">
        <v>12</v>
      </c>
      <c r="B8" s="48" t="s">
        <v>333</v>
      </c>
      <c r="C8" s="64">
        <v>420</v>
      </c>
      <c r="D8" s="64">
        <v>314.243903448276</v>
      </c>
      <c r="E8" s="64">
        <v>264.840896551724</v>
      </c>
      <c r="F8" s="64">
        <v>252.716993103448</v>
      </c>
      <c r="G8" s="64">
        <v>240.593089655172</v>
      </c>
      <c r="H8" s="64">
        <v>228.469186206897</v>
      </c>
      <c r="I8" s="64">
        <v>216.345282758621</v>
      </c>
      <c r="J8" s="65">
        <v>204.221379310345</v>
      </c>
    </row>
    <row r="9" ht="14.65" spans="1:10">
      <c r="A9" s="47">
        <v>13</v>
      </c>
      <c r="B9" s="48" t="s">
        <v>334</v>
      </c>
      <c r="C9" s="64">
        <v>2700</v>
      </c>
      <c r="D9" s="64">
        <v>2260.61795454545</v>
      </c>
      <c r="E9" s="64">
        <v>2047.53917045455</v>
      </c>
      <c r="F9" s="64">
        <v>1983.02297727273</v>
      </c>
      <c r="G9" s="64">
        <v>1974.78245454545</v>
      </c>
      <c r="H9" s="64">
        <v>1968.94094318182</v>
      </c>
      <c r="I9" s="64">
        <v>1932.56258522727</v>
      </c>
      <c r="J9" s="65">
        <v>1908.15906477273</v>
      </c>
    </row>
    <row r="10" ht="14.65" spans="1:10">
      <c r="A10" s="47">
        <v>14</v>
      </c>
      <c r="B10" s="48" t="s">
        <v>335</v>
      </c>
      <c r="C10" s="64">
        <v>520</v>
      </c>
      <c r="D10" s="64">
        <v>431.050128888889</v>
      </c>
      <c r="E10" s="64">
        <v>382.537191111111</v>
      </c>
      <c r="F10" s="64">
        <v>362.818791111111</v>
      </c>
      <c r="G10" s="64">
        <v>343.100391111111</v>
      </c>
      <c r="H10" s="64">
        <v>323.381933333333</v>
      </c>
      <c r="I10" s="64">
        <v>303.663533333333</v>
      </c>
      <c r="J10" s="65">
        <v>283.945116</v>
      </c>
    </row>
    <row r="11" ht="14.65" spans="1:10">
      <c r="A11" s="47">
        <v>15</v>
      </c>
      <c r="B11" s="48" t="s">
        <v>336</v>
      </c>
      <c r="C11" s="64">
        <v>1400</v>
      </c>
      <c r="D11" s="64">
        <v>1167.35272093023</v>
      </c>
      <c r="E11" s="64">
        <v>1037.58460465116</v>
      </c>
      <c r="F11" s="64">
        <v>966.642372093023</v>
      </c>
      <c r="G11" s="64">
        <v>911.056674418605</v>
      </c>
      <c r="H11" s="64">
        <v>865.333651162791</v>
      </c>
      <c r="I11" s="64">
        <v>802.069686046512</v>
      </c>
      <c r="J11" s="65">
        <v>744.835830232558</v>
      </c>
    </row>
    <row r="12" ht="14.65" spans="1:10">
      <c r="A12" s="47">
        <v>21</v>
      </c>
      <c r="B12" s="48" t="s">
        <v>337</v>
      </c>
      <c r="C12" s="64">
        <v>590</v>
      </c>
      <c r="D12" s="64">
        <v>628.47803</v>
      </c>
      <c r="E12" s="64">
        <v>654.13064</v>
      </c>
      <c r="F12" s="64">
        <v>671.23179</v>
      </c>
      <c r="G12" s="64">
        <v>679.78266</v>
      </c>
      <c r="H12" s="64">
        <v>688.33353</v>
      </c>
      <c r="I12" s="64">
        <v>696.8844</v>
      </c>
      <c r="J12" s="65">
        <v>705.43527</v>
      </c>
    </row>
    <row r="13" ht="14.65" spans="1:10">
      <c r="A13" s="47">
        <v>22</v>
      </c>
      <c r="B13" s="48" t="s">
        <v>338</v>
      </c>
      <c r="C13" s="64">
        <v>400</v>
      </c>
      <c r="D13" s="64">
        <v>316.182975609756</v>
      </c>
      <c r="E13" s="64">
        <v>285.83643902439</v>
      </c>
      <c r="F13" s="64">
        <v>269.91756097561</v>
      </c>
      <c r="G13" s="64">
        <v>253.998682926829</v>
      </c>
      <c r="H13" s="64">
        <v>238.079804878049</v>
      </c>
      <c r="I13" s="64">
        <v>222.160926829268</v>
      </c>
      <c r="J13" s="65">
        <v>206.242077471459</v>
      </c>
    </row>
    <row r="14" ht="14.65" spans="1:10">
      <c r="A14" s="37">
        <v>31</v>
      </c>
      <c r="B14" s="38" t="s">
        <v>339</v>
      </c>
      <c r="C14" s="66">
        <v>0</v>
      </c>
      <c r="D14" s="66">
        <v>0</v>
      </c>
      <c r="E14" s="66">
        <v>0</v>
      </c>
      <c r="F14" s="66">
        <v>0</v>
      </c>
      <c r="G14" s="66">
        <v>0</v>
      </c>
      <c r="H14" s="66">
        <v>0</v>
      </c>
      <c r="I14" s="66">
        <v>0</v>
      </c>
      <c r="J14" s="67">
        <v>0</v>
      </c>
    </row>
    <row r="18" spans="3:9">
      <c r="C18" s="68"/>
      <c r="D18" s="68"/>
      <c r="E18" s="68"/>
      <c r="F18" s="68"/>
      <c r="G18" s="68"/>
      <c r="H18" s="68"/>
      <c r="I18" s="68"/>
    </row>
  </sheetData>
  <pageMargins left="0.7" right="0.7" top="0.75" bottom="0.75" header="0.3" footer="0.3"/>
  <pageSetup paperSize="9" orientation="portrait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4"/>
  <sheetViews>
    <sheetView zoomScale="175" zoomScaleNormal="175" workbookViewId="0">
      <selection activeCell="B18" sqref="B18"/>
    </sheetView>
  </sheetViews>
  <sheetFormatPr defaultColWidth="9" defaultRowHeight="13.85"/>
  <cols>
    <col min="1" max="1" width="17.4424778761062" customWidth="1"/>
    <col min="2" max="2" width="15.6637168141593" customWidth="1"/>
  </cols>
  <sheetData>
    <row r="1" ht="28.5" spans="1:10">
      <c r="A1" s="56" t="s">
        <v>340</v>
      </c>
      <c r="B1" s="30" t="s">
        <v>318</v>
      </c>
      <c r="C1" s="2" t="s">
        <v>22</v>
      </c>
      <c r="D1" s="2" t="s">
        <v>27</v>
      </c>
      <c r="E1" s="2" t="s">
        <v>41</v>
      </c>
      <c r="F1" s="2" t="s">
        <v>53</v>
      </c>
      <c r="G1" s="2" t="s">
        <v>62</v>
      </c>
      <c r="H1" s="2" t="s">
        <v>67</v>
      </c>
      <c r="I1" s="2" t="s">
        <v>69</v>
      </c>
      <c r="J1" s="3" t="s">
        <v>71</v>
      </c>
    </row>
    <row r="2" ht="28.5" spans="1:10">
      <c r="A2" s="33">
        <v>1</v>
      </c>
      <c r="B2" s="34" t="s">
        <v>341</v>
      </c>
      <c r="C2" s="57">
        <v>0.0269462660944206</v>
      </c>
      <c r="D2" s="57">
        <v>0.0258928755364807</v>
      </c>
      <c r="E2" s="57">
        <v>0.0272970987124464</v>
      </c>
      <c r="F2" s="57">
        <v>0.0253626094420601</v>
      </c>
      <c r="G2" s="57">
        <v>0.0257402231759657</v>
      </c>
      <c r="H2" s="57">
        <v>0.022768</v>
      </c>
      <c r="I2" s="57">
        <v>0.017589</v>
      </c>
      <c r="J2" s="58">
        <v>0.021295</v>
      </c>
    </row>
    <row r="3" ht="28.5" spans="1:10">
      <c r="A3" s="47">
        <v>2</v>
      </c>
      <c r="B3" s="48" t="s">
        <v>328</v>
      </c>
      <c r="C3" s="59">
        <v>0.030185</v>
      </c>
      <c r="D3" s="59">
        <v>0.029005</v>
      </c>
      <c r="E3" s="59">
        <v>0.030578</v>
      </c>
      <c r="F3" s="59">
        <v>0.028411</v>
      </c>
      <c r="G3" s="59">
        <v>0.028834</v>
      </c>
      <c r="H3" s="59">
        <f>H2*G3/G2</f>
        <v>0.0255045384615385</v>
      </c>
      <c r="I3" s="59">
        <v>0.017589</v>
      </c>
      <c r="J3" s="60">
        <v>0.021295</v>
      </c>
    </row>
    <row r="4" ht="14.65" spans="1:10">
      <c r="A4" s="47">
        <v>3</v>
      </c>
      <c r="B4" s="48" t="s">
        <v>329</v>
      </c>
      <c r="C4" s="59">
        <v>0.053302</v>
      </c>
      <c r="D4" s="59">
        <v>0.052793</v>
      </c>
      <c r="E4" s="59">
        <v>0.053048</v>
      </c>
      <c r="F4" s="59">
        <v>0.051012</v>
      </c>
      <c r="G4" s="59">
        <v>0.053302</v>
      </c>
      <c r="H4" s="59">
        <v>0.034729</v>
      </c>
      <c r="I4" s="59">
        <v>0.027605</v>
      </c>
      <c r="J4" s="60">
        <v>0.032439</v>
      </c>
    </row>
    <row r="5" ht="14.65" spans="1:10">
      <c r="A5" s="47">
        <v>4</v>
      </c>
      <c r="B5" s="48" t="s">
        <v>330</v>
      </c>
      <c r="C5" s="27">
        <v>0</v>
      </c>
      <c r="D5" s="27">
        <v>0</v>
      </c>
      <c r="E5" s="27">
        <v>0</v>
      </c>
      <c r="F5" s="27">
        <v>0</v>
      </c>
      <c r="G5" s="27">
        <v>0</v>
      </c>
      <c r="H5" s="27">
        <v>0</v>
      </c>
      <c r="I5" s="27">
        <v>0</v>
      </c>
      <c r="J5" s="28">
        <v>0</v>
      </c>
    </row>
    <row r="6" ht="14.65" spans="1:10">
      <c r="A6" s="47">
        <v>5</v>
      </c>
      <c r="B6" s="48" t="s">
        <v>331</v>
      </c>
      <c r="C6" s="59">
        <v>0.004784</v>
      </c>
      <c r="D6" s="59">
        <v>0.004784</v>
      </c>
      <c r="E6" s="59">
        <v>0.004784</v>
      </c>
      <c r="F6" s="59">
        <v>0.004784</v>
      </c>
      <c r="G6" s="59">
        <v>0.004784</v>
      </c>
      <c r="H6" s="59">
        <v>0.004784</v>
      </c>
      <c r="I6" s="59">
        <v>0.004784</v>
      </c>
      <c r="J6" s="60">
        <v>0.004784</v>
      </c>
    </row>
    <row r="7" ht="14.65" spans="1:10">
      <c r="A7" s="47">
        <v>11</v>
      </c>
      <c r="B7" s="48" t="s">
        <v>332</v>
      </c>
      <c r="C7" s="27">
        <v>0</v>
      </c>
      <c r="D7" s="27">
        <v>0</v>
      </c>
      <c r="E7" s="27">
        <v>0</v>
      </c>
      <c r="F7" s="27">
        <v>0</v>
      </c>
      <c r="G7" s="27">
        <v>0</v>
      </c>
      <c r="H7" s="27">
        <v>0</v>
      </c>
      <c r="I7" s="27">
        <v>0</v>
      </c>
      <c r="J7" s="28">
        <v>0</v>
      </c>
    </row>
    <row r="8" ht="14.65" spans="1:10">
      <c r="A8" s="47">
        <v>12</v>
      </c>
      <c r="B8" s="48" t="s">
        <v>333</v>
      </c>
      <c r="C8" s="27">
        <v>0</v>
      </c>
      <c r="D8" s="27">
        <v>0</v>
      </c>
      <c r="E8" s="27">
        <v>0</v>
      </c>
      <c r="F8" s="27">
        <v>0</v>
      </c>
      <c r="G8" s="27">
        <v>0</v>
      </c>
      <c r="H8" s="27">
        <v>0</v>
      </c>
      <c r="I8" s="27">
        <v>0</v>
      </c>
      <c r="J8" s="28">
        <v>0</v>
      </c>
    </row>
    <row r="9" ht="14.65" spans="1:10">
      <c r="A9" s="47">
        <v>13</v>
      </c>
      <c r="B9" s="48" t="s">
        <v>334</v>
      </c>
      <c r="C9" s="27">
        <v>0</v>
      </c>
      <c r="D9" s="27">
        <v>0</v>
      </c>
      <c r="E9" s="27">
        <v>0</v>
      </c>
      <c r="F9" s="27">
        <v>0</v>
      </c>
      <c r="G9" s="27">
        <v>0</v>
      </c>
      <c r="H9" s="27">
        <v>0</v>
      </c>
      <c r="I9" s="27">
        <v>0</v>
      </c>
      <c r="J9" s="28">
        <v>0</v>
      </c>
    </row>
    <row r="10" ht="14.65" spans="1:10">
      <c r="A10" s="47">
        <v>14</v>
      </c>
      <c r="B10" s="48" t="s">
        <v>335</v>
      </c>
      <c r="C10" s="27">
        <v>0</v>
      </c>
      <c r="D10" s="27">
        <v>0</v>
      </c>
      <c r="E10" s="27">
        <v>0</v>
      </c>
      <c r="F10" s="27">
        <v>0</v>
      </c>
      <c r="G10" s="27">
        <v>0</v>
      </c>
      <c r="H10" s="27">
        <v>0</v>
      </c>
      <c r="I10" s="27">
        <v>0</v>
      </c>
      <c r="J10" s="28">
        <v>0</v>
      </c>
    </row>
    <row r="11" ht="14.65" spans="1:10">
      <c r="A11" s="47">
        <v>15</v>
      </c>
      <c r="B11" s="48" t="s">
        <v>336</v>
      </c>
      <c r="C11" s="27">
        <v>0</v>
      </c>
      <c r="D11" s="27">
        <v>0</v>
      </c>
      <c r="E11" s="27">
        <v>0</v>
      </c>
      <c r="F11" s="27">
        <v>0</v>
      </c>
      <c r="G11" s="27">
        <v>0</v>
      </c>
      <c r="H11" s="27">
        <v>0</v>
      </c>
      <c r="I11" s="27">
        <v>0</v>
      </c>
      <c r="J11" s="28">
        <v>0</v>
      </c>
    </row>
    <row r="12" ht="14.65" spans="1:10">
      <c r="A12" s="47">
        <v>21</v>
      </c>
      <c r="B12" s="48" t="s">
        <v>337</v>
      </c>
      <c r="C12" s="27">
        <v>0</v>
      </c>
      <c r="D12" s="27">
        <v>0</v>
      </c>
      <c r="E12" s="27">
        <v>0</v>
      </c>
      <c r="F12" s="27">
        <v>0</v>
      </c>
      <c r="G12" s="27">
        <v>0</v>
      </c>
      <c r="H12" s="27">
        <v>0</v>
      </c>
      <c r="I12" s="27">
        <v>0</v>
      </c>
      <c r="J12" s="28">
        <v>0</v>
      </c>
    </row>
    <row r="13" ht="14.65" spans="1:10">
      <c r="A13" s="47">
        <v>22</v>
      </c>
      <c r="B13" s="48" t="s">
        <v>338</v>
      </c>
      <c r="C13" s="27">
        <v>0</v>
      </c>
      <c r="D13" s="27">
        <v>0</v>
      </c>
      <c r="E13" s="27">
        <v>0</v>
      </c>
      <c r="F13" s="27">
        <v>0</v>
      </c>
      <c r="G13" s="27">
        <v>0</v>
      </c>
      <c r="H13" s="27">
        <v>0</v>
      </c>
      <c r="I13" s="27">
        <v>0</v>
      </c>
      <c r="J13" s="28">
        <v>0</v>
      </c>
    </row>
    <row r="14" ht="14.65" spans="1:10">
      <c r="A14" s="37">
        <v>31</v>
      </c>
      <c r="B14" s="38" t="s">
        <v>339</v>
      </c>
      <c r="C14" s="61">
        <v>0.0176475</v>
      </c>
      <c r="D14" s="61">
        <v>0.0176475</v>
      </c>
      <c r="E14" s="61">
        <v>0.0176475</v>
      </c>
      <c r="F14" s="61">
        <v>0.0176475</v>
      </c>
      <c r="G14" s="61">
        <v>0.0176475</v>
      </c>
      <c r="H14" s="5">
        <v>0</v>
      </c>
      <c r="I14" s="5">
        <v>0</v>
      </c>
      <c r="J14" s="6">
        <v>0</v>
      </c>
    </row>
  </sheetData>
  <pageMargins left="0.7" right="0.7" top="0.75" bottom="0.75" header="0.3" footer="0.3"/>
  <pageSetup paperSize="9" orientation="portrait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2"/>
  <sheetViews>
    <sheetView zoomScale="130" zoomScaleNormal="130" topLeftCell="B1" workbookViewId="0">
      <selection activeCell="H1" sqref="H1"/>
    </sheetView>
  </sheetViews>
  <sheetFormatPr defaultColWidth="9" defaultRowHeight="13.85"/>
  <cols>
    <col min="1" max="1" width="9" style="41" customWidth="1"/>
    <col min="2" max="2" width="15.5575221238938" style="41" customWidth="1"/>
    <col min="3" max="3" width="23.2212389380531" style="41" customWidth="1"/>
    <col min="4" max="4" width="26.4424778761062" style="41" customWidth="1"/>
    <col min="5" max="5" width="19.6637168141593" style="41" customWidth="1"/>
    <col min="6" max="6" width="20" style="41" customWidth="1"/>
    <col min="7" max="7" width="21.8849557522124" style="41" customWidth="1"/>
    <col min="8" max="8" width="20" style="41" customWidth="1"/>
    <col min="9" max="9" width="14.6637168141593" style="41" customWidth="1"/>
    <col min="10" max="10" width="20" style="41" customWidth="1"/>
    <col min="11" max="11" width="13.7787610619469" style="41" customWidth="1"/>
    <col min="12" max="12" width="21.6637168141593" style="41" customWidth="1"/>
    <col min="13" max="13" width="17.3362831858407" style="41" customWidth="1"/>
    <col min="14" max="14" width="16.5575221238938" style="41" customWidth="1"/>
    <col min="15" max="15" width="15.3362831858407" style="41" customWidth="1"/>
    <col min="16" max="16" width="8.88495575221239" style="41" customWidth="1"/>
    <col min="17" max="17" width="22.4424778761062" style="41" customWidth="1"/>
    <col min="18" max="18" width="8.10619469026549" style="41" customWidth="1"/>
    <col min="19" max="16384" width="8.88495575221239" style="41"/>
  </cols>
  <sheetData>
    <row r="1" ht="30.4" spans="1:16">
      <c r="A1" s="42" t="s">
        <v>342</v>
      </c>
      <c r="B1" s="30" t="s">
        <v>318</v>
      </c>
      <c r="C1" s="30" t="s">
        <v>273</v>
      </c>
      <c r="D1" s="30" t="s">
        <v>274</v>
      </c>
      <c r="E1" s="30" t="s">
        <v>275</v>
      </c>
      <c r="F1" s="30" t="s">
        <v>276</v>
      </c>
      <c r="G1" s="31" t="s">
        <v>343</v>
      </c>
      <c r="H1" s="31" t="s">
        <v>344</v>
      </c>
      <c r="I1" s="31" t="s">
        <v>345</v>
      </c>
      <c r="J1" s="31" t="s">
        <v>346</v>
      </c>
      <c r="K1" s="31" t="s">
        <v>281</v>
      </c>
      <c r="L1" s="31" t="s">
        <v>347</v>
      </c>
      <c r="M1" s="30" t="s">
        <v>283</v>
      </c>
      <c r="N1" s="30" t="s">
        <v>284</v>
      </c>
      <c r="O1" s="30" t="s">
        <v>285</v>
      </c>
      <c r="P1" s="43" t="s">
        <v>286</v>
      </c>
    </row>
    <row r="2" ht="28.5" spans="1:16">
      <c r="A2" s="33">
        <v>1</v>
      </c>
      <c r="B2" s="34" t="s">
        <v>341</v>
      </c>
      <c r="C2" s="44">
        <v>35</v>
      </c>
      <c r="D2" s="44">
        <v>3</v>
      </c>
      <c r="E2" s="44">
        <v>48</v>
      </c>
      <c r="F2" s="44">
        <v>12</v>
      </c>
      <c r="G2" s="44">
        <v>6.2</v>
      </c>
      <c r="H2" s="44">
        <v>0.0241113841201717</v>
      </c>
      <c r="I2" s="44">
        <v>100</v>
      </c>
      <c r="J2" s="44">
        <v>350</v>
      </c>
      <c r="K2" s="44">
        <v>30</v>
      </c>
      <c r="L2" s="44">
        <v>0.76</v>
      </c>
      <c r="M2" s="45" t="s">
        <v>90</v>
      </c>
      <c r="N2" s="45" t="s">
        <v>90</v>
      </c>
      <c r="O2" s="45" t="s">
        <v>90</v>
      </c>
      <c r="P2" s="46" t="s">
        <v>90</v>
      </c>
    </row>
    <row r="3" ht="28.5" spans="1:16">
      <c r="A3" s="47">
        <v>2</v>
      </c>
      <c r="B3" s="48" t="s">
        <v>328</v>
      </c>
      <c r="C3" s="49">
        <v>50</v>
      </c>
      <c r="D3" s="49">
        <v>1</v>
      </c>
      <c r="E3" s="49">
        <v>24</v>
      </c>
      <c r="F3" s="49">
        <v>6</v>
      </c>
      <c r="G3" s="49">
        <v>6.2</v>
      </c>
      <c r="H3" s="49">
        <v>0.0264251923076923</v>
      </c>
      <c r="I3" s="49">
        <v>30</v>
      </c>
      <c r="J3" s="49">
        <v>420</v>
      </c>
      <c r="K3" s="49">
        <v>30</v>
      </c>
      <c r="L3" s="49">
        <v>0.85</v>
      </c>
      <c r="M3" s="50" t="s">
        <v>90</v>
      </c>
      <c r="N3" s="50" t="s">
        <v>90</v>
      </c>
      <c r="O3" s="50" t="s">
        <v>90</v>
      </c>
      <c r="P3" s="51" t="s">
        <v>90</v>
      </c>
    </row>
    <row r="4" ht="14.65" spans="1:16">
      <c r="A4" s="47">
        <v>3</v>
      </c>
      <c r="B4" s="48" t="s">
        <v>329</v>
      </c>
      <c r="C4" s="49">
        <v>30</v>
      </c>
      <c r="D4" s="49">
        <v>7</v>
      </c>
      <c r="E4" s="49">
        <v>2</v>
      </c>
      <c r="F4" s="49">
        <v>1</v>
      </c>
      <c r="G4" s="49">
        <v>9.8</v>
      </c>
      <c r="H4" s="49">
        <v>0.04477875</v>
      </c>
      <c r="I4" s="49">
        <v>80</v>
      </c>
      <c r="J4" s="49">
        <v>200</v>
      </c>
      <c r="K4" s="49">
        <v>30</v>
      </c>
      <c r="L4" s="49">
        <v>0.31</v>
      </c>
      <c r="M4" s="50" t="s">
        <v>90</v>
      </c>
      <c r="N4" s="50" t="s">
        <v>90</v>
      </c>
      <c r="O4" s="50" t="s">
        <v>90</v>
      </c>
      <c r="P4" s="51" t="s">
        <v>90</v>
      </c>
    </row>
    <row r="5" ht="14.65" spans="1:16">
      <c r="A5" s="47">
        <v>4</v>
      </c>
      <c r="B5" s="48" t="s">
        <v>330</v>
      </c>
      <c r="C5" s="49">
        <v>0</v>
      </c>
      <c r="D5" s="49">
        <v>100</v>
      </c>
      <c r="E5" s="49">
        <v>0</v>
      </c>
      <c r="F5" s="49">
        <v>0</v>
      </c>
      <c r="G5" s="49">
        <v>25.93</v>
      </c>
      <c r="H5" s="49">
        <v>0</v>
      </c>
      <c r="I5" s="49">
        <v>0</v>
      </c>
      <c r="J5" s="49">
        <v>1400</v>
      </c>
      <c r="K5" s="49">
        <v>80</v>
      </c>
      <c r="L5" s="49">
        <v>0</v>
      </c>
      <c r="M5" s="50" t="s">
        <v>90</v>
      </c>
      <c r="N5" s="50" t="s">
        <v>90</v>
      </c>
      <c r="O5" s="50" t="s">
        <v>90</v>
      </c>
      <c r="P5" s="51" t="s">
        <v>90</v>
      </c>
    </row>
    <row r="6" ht="14.65" spans="1:16">
      <c r="A6" s="47">
        <v>5</v>
      </c>
      <c r="B6" s="48" t="s">
        <v>331</v>
      </c>
      <c r="C6" s="49">
        <v>70</v>
      </c>
      <c r="D6" s="49">
        <v>0.1</v>
      </c>
      <c r="E6" s="49">
        <v>48</v>
      </c>
      <c r="F6" s="49">
        <v>12</v>
      </c>
      <c r="G6" s="49">
        <v>55.64</v>
      </c>
      <c r="H6" s="49">
        <v>0.004784</v>
      </c>
      <c r="I6" s="49">
        <v>120</v>
      </c>
      <c r="J6" s="49">
        <v>1750</v>
      </c>
      <c r="K6" s="49">
        <v>60</v>
      </c>
      <c r="L6" s="49">
        <v>0</v>
      </c>
      <c r="M6" s="50" t="s">
        <v>90</v>
      </c>
      <c r="N6" s="50" t="s">
        <v>90</v>
      </c>
      <c r="O6" s="50" t="s">
        <v>90</v>
      </c>
      <c r="P6" s="51" t="s">
        <v>90</v>
      </c>
    </row>
    <row r="7" ht="14.65" spans="1:16">
      <c r="A7" s="47">
        <v>11</v>
      </c>
      <c r="B7" s="48" t="s">
        <v>332</v>
      </c>
      <c r="C7" s="49">
        <v>0</v>
      </c>
      <c r="D7" s="49">
        <v>100</v>
      </c>
      <c r="E7" s="49">
        <v>0</v>
      </c>
      <c r="F7" s="49">
        <v>0</v>
      </c>
      <c r="G7" s="49">
        <v>6.65</v>
      </c>
      <c r="H7" s="49">
        <v>0</v>
      </c>
      <c r="I7" s="49">
        <v>0</v>
      </c>
      <c r="J7" s="49">
        <v>420</v>
      </c>
      <c r="K7" s="49">
        <v>25</v>
      </c>
      <c r="L7" s="49">
        <v>0</v>
      </c>
      <c r="M7" s="50" t="s">
        <v>90</v>
      </c>
      <c r="N7" s="50" t="s">
        <v>90</v>
      </c>
      <c r="O7" s="50" t="s">
        <v>90</v>
      </c>
      <c r="P7" s="51" t="s">
        <v>90</v>
      </c>
    </row>
    <row r="8" ht="14.65" spans="1:16">
      <c r="A8" s="47">
        <v>12</v>
      </c>
      <c r="B8" s="48" t="s">
        <v>333</v>
      </c>
      <c r="C8" s="49">
        <v>0</v>
      </c>
      <c r="D8" s="49">
        <v>100</v>
      </c>
      <c r="E8" s="49">
        <v>0</v>
      </c>
      <c r="F8" s="49">
        <v>0</v>
      </c>
      <c r="G8" s="49">
        <v>6.3</v>
      </c>
      <c r="H8" s="49">
        <v>0</v>
      </c>
      <c r="I8" s="49">
        <v>0</v>
      </c>
      <c r="J8" s="49">
        <v>420</v>
      </c>
      <c r="K8" s="49">
        <v>25</v>
      </c>
      <c r="L8" s="49">
        <v>0</v>
      </c>
      <c r="M8" s="50" t="s">
        <v>90</v>
      </c>
      <c r="N8" s="50" t="s">
        <v>90</v>
      </c>
      <c r="O8" s="50" t="s">
        <v>90</v>
      </c>
      <c r="P8" s="51" t="s">
        <v>90</v>
      </c>
    </row>
    <row r="9" ht="14.65" spans="1:16">
      <c r="A9" s="47">
        <v>13</v>
      </c>
      <c r="B9" s="48" t="s">
        <v>334</v>
      </c>
      <c r="C9" s="49">
        <v>0</v>
      </c>
      <c r="D9" s="49">
        <v>100</v>
      </c>
      <c r="E9" s="49">
        <v>0</v>
      </c>
      <c r="F9" s="49">
        <v>0</v>
      </c>
      <c r="G9" s="49">
        <v>54.047448</v>
      </c>
      <c r="H9" s="49">
        <v>0</v>
      </c>
      <c r="I9" s="49">
        <v>0</v>
      </c>
      <c r="J9" s="49">
        <v>2700</v>
      </c>
      <c r="K9" s="49">
        <v>35</v>
      </c>
      <c r="L9" s="49">
        <v>0</v>
      </c>
      <c r="M9" s="49">
        <v>12</v>
      </c>
      <c r="N9" s="49">
        <v>98</v>
      </c>
      <c r="O9" s="49">
        <v>40</v>
      </c>
      <c r="P9" s="52">
        <v>2.4</v>
      </c>
    </row>
    <row r="10" ht="14.65" spans="1:16">
      <c r="A10" s="47">
        <v>14</v>
      </c>
      <c r="B10" s="48" t="s">
        <v>335</v>
      </c>
      <c r="C10" s="49">
        <v>0</v>
      </c>
      <c r="D10" s="49">
        <v>100</v>
      </c>
      <c r="E10" s="49">
        <v>0</v>
      </c>
      <c r="F10" s="49">
        <v>0</v>
      </c>
      <c r="G10" s="49">
        <v>14.6</v>
      </c>
      <c r="H10" s="49">
        <v>0</v>
      </c>
      <c r="I10" s="49">
        <v>0</v>
      </c>
      <c r="J10" s="49">
        <v>520</v>
      </c>
      <c r="K10" s="49">
        <v>25</v>
      </c>
      <c r="L10" s="49">
        <v>0</v>
      </c>
      <c r="M10" s="50" t="s">
        <v>90</v>
      </c>
      <c r="N10" s="50" t="s">
        <v>90</v>
      </c>
      <c r="O10" s="50" t="s">
        <v>90</v>
      </c>
      <c r="P10" s="51" t="s">
        <v>90</v>
      </c>
    </row>
    <row r="11" ht="14.65" spans="1:16">
      <c r="A11" s="47">
        <v>15</v>
      </c>
      <c r="B11" s="48" t="s">
        <v>336</v>
      </c>
      <c r="C11" s="49">
        <v>0</v>
      </c>
      <c r="D11" s="49">
        <v>100</v>
      </c>
      <c r="E11" s="49">
        <v>0</v>
      </c>
      <c r="F11" s="49">
        <v>0</v>
      </c>
      <c r="G11" s="49">
        <v>43.45</v>
      </c>
      <c r="H11" s="49">
        <v>0</v>
      </c>
      <c r="I11" s="49">
        <v>0</v>
      </c>
      <c r="J11" s="49">
        <v>1400</v>
      </c>
      <c r="K11" s="49">
        <v>25</v>
      </c>
      <c r="L11" s="49">
        <v>0</v>
      </c>
      <c r="M11" s="50" t="s">
        <v>90</v>
      </c>
      <c r="N11" s="50" t="s">
        <v>90</v>
      </c>
      <c r="O11" s="50" t="s">
        <v>90</v>
      </c>
      <c r="P11" s="51" t="s">
        <v>90</v>
      </c>
    </row>
    <row r="12" ht="14.65" spans="1:16">
      <c r="A12" s="37">
        <v>31</v>
      </c>
      <c r="B12" s="38" t="s">
        <v>339</v>
      </c>
      <c r="C12" s="53">
        <v>0</v>
      </c>
      <c r="D12" s="53">
        <v>0.1</v>
      </c>
      <c r="E12" s="53">
        <v>0</v>
      </c>
      <c r="F12" s="53">
        <v>0</v>
      </c>
      <c r="G12" s="53">
        <v>15.772</v>
      </c>
      <c r="H12" s="53">
        <v>0.0176475</v>
      </c>
      <c r="I12" s="53">
        <v>0</v>
      </c>
      <c r="J12" s="53">
        <v>0</v>
      </c>
      <c r="K12" s="53">
        <v>80</v>
      </c>
      <c r="L12" s="53">
        <v>0</v>
      </c>
      <c r="M12" s="54" t="s">
        <v>90</v>
      </c>
      <c r="N12" s="54" t="s">
        <v>90</v>
      </c>
      <c r="O12" s="54" t="s">
        <v>90</v>
      </c>
      <c r="P12" s="55" t="s">
        <v>90</v>
      </c>
    </row>
  </sheetData>
  <pageMargins left="0.7" right="0.7" top="0.75" bottom="0.75" header="0.3" footer="0.3"/>
  <pageSetup paperSize="9" orientation="portrait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"/>
  <sheetViews>
    <sheetView zoomScale="145" zoomScaleNormal="145" workbookViewId="0">
      <selection activeCell="I1" sqref="I1"/>
    </sheetView>
  </sheetViews>
  <sheetFormatPr defaultColWidth="9" defaultRowHeight="13.85" outlineLevelRow="2"/>
  <cols>
    <col min="1" max="1" width="9" customWidth="1"/>
    <col min="2" max="2" width="15.2212389380531" customWidth="1"/>
    <col min="3" max="3" width="19.6637168141593" customWidth="1"/>
    <col min="4" max="4" width="20" customWidth="1"/>
    <col min="5" max="5" width="21.6637168141593" customWidth="1"/>
    <col min="6" max="6" width="20" customWidth="1"/>
    <col min="7" max="8" width="20.8849557522124" customWidth="1"/>
    <col min="9" max="9" width="20.1061946902655" customWidth="1"/>
    <col min="10" max="10" width="19.2212389380531" customWidth="1"/>
    <col min="11" max="11" width="20.6637168141593" customWidth="1"/>
  </cols>
  <sheetData>
    <row r="1" ht="30.4" spans="1:9">
      <c r="A1" s="30" t="s">
        <v>342</v>
      </c>
      <c r="B1" s="30" t="s">
        <v>318</v>
      </c>
      <c r="C1" s="30" t="s">
        <v>348</v>
      </c>
      <c r="D1" s="30" t="s">
        <v>349</v>
      </c>
      <c r="E1" s="31" t="s">
        <v>343</v>
      </c>
      <c r="F1" s="31" t="s">
        <v>350</v>
      </c>
      <c r="G1" s="31" t="s">
        <v>346</v>
      </c>
      <c r="H1" s="31" t="s">
        <v>281</v>
      </c>
      <c r="I1" s="32" t="s">
        <v>347</v>
      </c>
    </row>
    <row r="2" ht="14.65" spans="1:9">
      <c r="A2" s="33">
        <v>21</v>
      </c>
      <c r="B2" s="34" t="s">
        <v>337</v>
      </c>
      <c r="C2" s="35">
        <v>8</v>
      </c>
      <c r="D2" s="35">
        <v>75</v>
      </c>
      <c r="E2" s="35">
        <v>13.75</v>
      </c>
      <c r="F2" s="35">
        <v>0</v>
      </c>
      <c r="G2" s="35">
        <v>590</v>
      </c>
      <c r="H2" s="35">
        <v>50</v>
      </c>
      <c r="I2" s="36">
        <v>0</v>
      </c>
    </row>
    <row r="3" ht="14.65" spans="1:9">
      <c r="A3" s="37">
        <v>22</v>
      </c>
      <c r="B3" s="38" t="s">
        <v>338</v>
      </c>
      <c r="C3" s="39">
        <v>2</v>
      </c>
      <c r="D3" s="39">
        <v>90</v>
      </c>
      <c r="E3" s="39">
        <v>6</v>
      </c>
      <c r="F3" s="39">
        <v>0</v>
      </c>
      <c r="G3" s="39">
        <v>640</v>
      </c>
      <c r="H3" s="39">
        <v>15</v>
      </c>
      <c r="I3" s="40">
        <v>0</v>
      </c>
    </row>
  </sheetData>
  <pageMargins left="0.7" right="0.7" top="0.75" bottom="0.75" header="0.3" footer="0.3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7"/>
  <sheetViews>
    <sheetView zoomScale="190" zoomScaleNormal="190" workbookViewId="0">
      <selection activeCell="G26" sqref="G26"/>
    </sheetView>
  </sheetViews>
  <sheetFormatPr defaultColWidth="9" defaultRowHeight="13.85"/>
  <cols>
    <col min="1" max="1" width="14.8849557522124" customWidth="1"/>
  </cols>
  <sheetData>
    <row r="1" ht="14.65" spans="1:10">
      <c r="A1" s="2" t="s">
        <v>351</v>
      </c>
      <c r="B1" s="2" t="s">
        <v>19</v>
      </c>
      <c r="C1" s="2" t="s">
        <v>319</v>
      </c>
      <c r="D1" s="2" t="s">
        <v>320</v>
      </c>
      <c r="E1" s="2" t="s">
        <v>321</v>
      </c>
      <c r="F1" s="2" t="s">
        <v>322</v>
      </c>
      <c r="G1" s="2" t="s">
        <v>323</v>
      </c>
      <c r="H1" s="2" t="s">
        <v>324</v>
      </c>
      <c r="I1" s="2" t="s">
        <v>325</v>
      </c>
      <c r="J1" s="3" t="s">
        <v>326</v>
      </c>
    </row>
    <row r="2" spans="1:10">
      <c r="A2" s="23" t="s">
        <v>332</v>
      </c>
      <c r="B2" s="24" t="s">
        <v>22</v>
      </c>
      <c r="C2" s="24">
        <v>1165.89866451808</v>
      </c>
      <c r="D2" s="24">
        <v>1197.63672736167</v>
      </c>
      <c r="E2" s="24">
        <v>1230.23684272353</v>
      </c>
      <c r="F2" s="24">
        <v>1263.72218213425</v>
      </c>
      <c r="G2" s="24">
        <v>1298.11650797214</v>
      </c>
      <c r="H2" s="24">
        <v>1333.44416452909</v>
      </c>
      <c r="I2" s="24">
        <v>1365.42637902283</v>
      </c>
      <c r="J2" s="25">
        <v>1398.91717289426</v>
      </c>
    </row>
    <row r="3" spans="1:10">
      <c r="A3" s="26"/>
      <c r="B3" s="27" t="s">
        <v>27</v>
      </c>
      <c r="C3" s="27">
        <v>1224.45473466311</v>
      </c>
      <c r="D3" s="27">
        <v>1257.79128726733</v>
      </c>
      <c r="E3" s="27">
        <v>1292.033411445</v>
      </c>
      <c r="F3" s="27">
        <v>1327.2054303786</v>
      </c>
      <c r="G3" s="27">
        <v>1363.33228268945</v>
      </c>
      <c r="H3" s="27">
        <v>1400.43951191623</v>
      </c>
      <c r="I3" s="27">
        <v>1434.03277630715</v>
      </c>
      <c r="J3" s="28">
        <v>1469.21057829221</v>
      </c>
    </row>
    <row r="4" spans="1:10">
      <c r="A4" s="26"/>
      <c r="B4" s="27" t="s">
        <v>41</v>
      </c>
      <c r="C4" s="27">
        <v>1134.05933996805</v>
      </c>
      <c r="D4" s="27">
        <v>1164.93575434654</v>
      </c>
      <c r="E4" s="27">
        <v>1196.65132291773</v>
      </c>
      <c r="F4" s="27">
        <v>1229.22865904017</v>
      </c>
      <c r="G4" s="27">
        <v>1262.69096100353</v>
      </c>
      <c r="H4" s="27">
        <v>1297.06200501296</v>
      </c>
      <c r="I4" s="27">
        <v>1328.17884789497</v>
      </c>
      <c r="J4" s="28">
        <v>1360.7641566734</v>
      </c>
    </row>
    <row r="5" spans="1:10">
      <c r="A5" s="26"/>
      <c r="B5" s="27" t="s">
        <v>53</v>
      </c>
      <c r="C5" s="27">
        <v>1132.00591057817</v>
      </c>
      <c r="D5" s="27">
        <v>1162.82752626062</v>
      </c>
      <c r="E5" s="27">
        <v>1194.4868950999</v>
      </c>
      <c r="F5" s="27">
        <v>1227.00660470013</v>
      </c>
      <c r="G5" s="27">
        <v>1260.40982864727</v>
      </c>
      <c r="H5" s="27">
        <v>1294.72031977998</v>
      </c>
      <c r="I5" s="27">
        <v>1325.78246449373</v>
      </c>
      <c r="J5" s="28">
        <v>1358.31062661922</v>
      </c>
    </row>
    <row r="6" spans="1:10">
      <c r="A6" s="26"/>
      <c r="B6" s="27" t="s">
        <v>62</v>
      </c>
      <c r="C6" s="27">
        <v>1148.4386513458</v>
      </c>
      <c r="D6" s="27">
        <v>1179.70445256865</v>
      </c>
      <c r="E6" s="27">
        <v>1211.81973927774</v>
      </c>
      <c r="F6" s="27">
        <v>1244.80737616926</v>
      </c>
      <c r="G6" s="27">
        <v>1278.69081578546</v>
      </c>
      <c r="H6" s="27">
        <v>1313.49409070946</v>
      </c>
      <c r="I6" s="27">
        <v>1345.00192481809</v>
      </c>
      <c r="J6" s="28">
        <v>1377.99633619267</v>
      </c>
    </row>
    <row r="7" spans="1:10">
      <c r="A7" s="26"/>
      <c r="B7" s="27" t="s">
        <v>67</v>
      </c>
      <c r="C7" s="27">
        <v>1460.67018738458</v>
      </c>
      <c r="D7" s="27">
        <v>1500.38662515279</v>
      </c>
      <c r="E7" s="27">
        <v>1541.17755774172</v>
      </c>
      <c r="F7" s="27">
        <v>1583.07139396769</v>
      </c>
      <c r="G7" s="27">
        <v>1626.09719642138</v>
      </c>
      <c r="H7" s="27">
        <v>1670.28465496616</v>
      </c>
      <c r="I7" s="27">
        <v>1710.28219782496</v>
      </c>
      <c r="J7" s="28">
        <v>1752.1604738389</v>
      </c>
    </row>
    <row r="8" spans="1:10">
      <c r="A8" s="26"/>
      <c r="B8" s="27" t="s">
        <v>69</v>
      </c>
      <c r="C8" s="27">
        <v>1463.78782342696</v>
      </c>
      <c r="D8" s="27">
        <v>1503.62919485819</v>
      </c>
      <c r="E8" s="27">
        <v>1544.55257451289</v>
      </c>
      <c r="F8" s="27">
        <v>1586.58709514097</v>
      </c>
      <c r="G8" s="27">
        <v>1629.76264405674</v>
      </c>
      <c r="H8" s="27">
        <v>1674.10985387712</v>
      </c>
      <c r="I8" s="27">
        <v>1714.25759693846</v>
      </c>
      <c r="J8" s="28">
        <v>1756.29926121177</v>
      </c>
    </row>
    <row r="9" ht="14.6" spans="1:10">
      <c r="A9" s="29"/>
      <c r="B9" s="5" t="s">
        <v>71</v>
      </c>
      <c r="C9" s="5">
        <v>1708.18904807065</v>
      </c>
      <c r="D9" s="5">
        <v>1754.59830082955</v>
      </c>
      <c r="E9" s="5">
        <v>1802.25995368067</v>
      </c>
      <c r="F9" s="5">
        <v>1851.20689920474</v>
      </c>
      <c r="G9" s="5">
        <v>1901.47275065134</v>
      </c>
      <c r="H9" s="5">
        <v>1953.09179645901</v>
      </c>
      <c r="I9" s="5">
        <v>1999.81269366393</v>
      </c>
      <c r="J9" s="6">
        <v>2048.72667884373</v>
      </c>
    </row>
    <row r="10" spans="1:10">
      <c r="A10" s="23" t="s">
        <v>333</v>
      </c>
      <c r="B10" s="24" t="s">
        <v>22</v>
      </c>
      <c r="C10" s="24">
        <v>1077.5698378426</v>
      </c>
      <c r="D10" s="24">
        <v>1106.91701686303</v>
      </c>
      <c r="E10" s="24">
        <v>1137.06257890216</v>
      </c>
      <c r="F10" s="24">
        <v>1168.02812270407</v>
      </c>
      <c r="G10" s="24">
        <v>1199.83581660288</v>
      </c>
      <c r="H10" s="24">
        <v>1232.50839385296</v>
      </c>
      <c r="I10" s="24">
        <v>1262.08856798775</v>
      </c>
      <c r="J10" s="25">
        <v>1293.06575071166</v>
      </c>
    </row>
    <row r="11" spans="1:10">
      <c r="A11" s="26"/>
      <c r="B11" s="27" t="s">
        <v>27</v>
      </c>
      <c r="C11" s="27">
        <v>1076.54295458893</v>
      </c>
      <c r="D11" s="27">
        <v>1105.86255699899</v>
      </c>
      <c r="E11" s="27">
        <v>1135.97983531539</v>
      </c>
      <c r="F11" s="27">
        <v>1166.91637467884</v>
      </c>
      <c r="G11" s="27">
        <v>1198.69433028004</v>
      </c>
      <c r="H11" s="27">
        <v>1231.33642285072</v>
      </c>
      <c r="I11" s="27">
        <v>1260.889055943</v>
      </c>
      <c r="J11" s="28">
        <v>1291.83746055779</v>
      </c>
    </row>
    <row r="12" spans="1:10">
      <c r="A12" s="26"/>
      <c r="B12" s="27" t="s">
        <v>41</v>
      </c>
      <c r="C12" s="27">
        <v>1037.50754989784</v>
      </c>
      <c r="D12" s="27">
        <v>1065.76358046941</v>
      </c>
      <c r="E12" s="27">
        <v>1094.78836852737</v>
      </c>
      <c r="F12" s="27">
        <v>1124.60272730506</v>
      </c>
      <c r="G12" s="27">
        <v>1155.22802222749</v>
      </c>
      <c r="H12" s="27">
        <v>1186.68616717767</v>
      </c>
      <c r="I12" s="27">
        <v>1215.16697250498</v>
      </c>
      <c r="J12" s="28">
        <v>1244.99300624094</v>
      </c>
    </row>
    <row r="13" spans="1:10">
      <c r="A13" s="26"/>
      <c r="B13" s="27" t="s">
        <v>53</v>
      </c>
      <c r="C13" s="27">
        <v>1041.61618165815</v>
      </c>
      <c r="D13" s="27">
        <v>1069.98377681248</v>
      </c>
      <c r="E13" s="27">
        <v>1099.12314079565</v>
      </c>
      <c r="F13" s="27">
        <v>1129.05516686527</v>
      </c>
      <c r="G13" s="27">
        <v>1159.80130241995</v>
      </c>
      <c r="H13" s="27">
        <v>1191.38354520179</v>
      </c>
      <c r="I13" s="27">
        <v>1219.97667736109</v>
      </c>
      <c r="J13" s="28">
        <v>1249.92031656746</v>
      </c>
    </row>
    <row r="14" ht="14.6" spans="1:10">
      <c r="A14" s="29"/>
      <c r="B14" s="5" t="s">
        <v>62</v>
      </c>
      <c r="C14" s="5">
        <v>1061.13281684918</v>
      </c>
      <c r="D14" s="5">
        <v>1090.03098531347</v>
      </c>
      <c r="E14" s="5">
        <v>1119.71522157928</v>
      </c>
      <c r="F14" s="5">
        <v>1150.20678742879</v>
      </c>
      <c r="G14" s="5">
        <v>1181.5275058056</v>
      </c>
      <c r="H14" s="5">
        <v>1213.6997564025</v>
      </c>
      <c r="I14" s="5">
        <v>1242.82686633236</v>
      </c>
      <c r="J14" s="6">
        <v>1273.32949724518</v>
      </c>
    </row>
    <row r="15" spans="1:10">
      <c r="A15" s="23" t="s">
        <v>335</v>
      </c>
      <c r="B15" s="24" t="s">
        <v>352</v>
      </c>
      <c r="C15" s="24">
        <v>2611.8309760961</v>
      </c>
      <c r="D15" s="24">
        <v>2663.60856493984</v>
      </c>
      <c r="E15" s="24">
        <v>2716.41270754603</v>
      </c>
      <c r="F15" s="24">
        <v>2770.26375483399</v>
      </c>
      <c r="G15" s="24">
        <v>2825.18241708696</v>
      </c>
      <c r="H15" s="24">
        <v>2881.18989195543</v>
      </c>
      <c r="I15" s="24">
        <v>2933.28506797684</v>
      </c>
      <c r="J15" s="25">
        <v>2987.15292369153</v>
      </c>
    </row>
    <row r="16" spans="1:10">
      <c r="A16" s="26"/>
      <c r="B16" s="27" t="s">
        <v>27</v>
      </c>
      <c r="C16" s="27">
        <v>2070.61280983301</v>
      </c>
      <c r="D16" s="27">
        <v>2111.66157225734</v>
      </c>
      <c r="E16" s="27">
        <v>2153.5241037904</v>
      </c>
      <c r="F16" s="27">
        <v>2196.2165458077</v>
      </c>
      <c r="G16" s="27">
        <v>2239.75532393571</v>
      </c>
      <c r="H16" s="27">
        <v>2284.15724956982</v>
      </c>
      <c r="I16" s="27">
        <v>2325.45752383929</v>
      </c>
      <c r="J16" s="28">
        <v>2368.16312090949</v>
      </c>
    </row>
    <row r="17" spans="1:10">
      <c r="A17" s="26"/>
      <c r="B17" s="27" t="s">
        <v>41</v>
      </c>
      <c r="C17" s="27">
        <v>1930.70411276651</v>
      </c>
      <c r="D17" s="27">
        <v>1968.97926154785</v>
      </c>
      <c r="E17" s="27">
        <v>2008.01319415376</v>
      </c>
      <c r="F17" s="27">
        <v>2047.82096130205</v>
      </c>
      <c r="G17" s="27">
        <v>2088.4178787553</v>
      </c>
      <c r="H17" s="27">
        <v>2129.81962197935</v>
      </c>
      <c r="I17" s="27">
        <v>2168.32928857782</v>
      </c>
      <c r="J17" s="28">
        <v>2208.14932212235</v>
      </c>
    </row>
    <row r="18" spans="1:10">
      <c r="A18" s="26"/>
      <c r="B18" s="27" t="s">
        <v>53</v>
      </c>
      <c r="C18" s="27">
        <v>1763.77618770665</v>
      </c>
      <c r="D18" s="27">
        <v>1798.74208232917</v>
      </c>
      <c r="E18" s="27">
        <v>1834.40115658951</v>
      </c>
      <c r="F18" s="27">
        <v>1870.76715992842</v>
      </c>
      <c r="G18" s="27">
        <v>1907.85408391557</v>
      </c>
      <c r="H18" s="27">
        <v>1945.6762487241</v>
      </c>
      <c r="I18" s="27">
        <v>1980.85638468837</v>
      </c>
      <c r="J18" s="28">
        <v>2017.23359376527</v>
      </c>
    </row>
    <row r="19" spans="1:10">
      <c r="A19" s="26"/>
      <c r="B19" s="27" t="s">
        <v>62</v>
      </c>
      <c r="C19" s="27">
        <v>2526.86187208524</v>
      </c>
      <c r="D19" s="27">
        <v>2576.95552160428</v>
      </c>
      <c r="E19" s="27">
        <v>2628.04225016222</v>
      </c>
      <c r="F19" s="27">
        <v>2680.14175580315</v>
      </c>
      <c r="G19" s="27">
        <v>2733.2740834554</v>
      </c>
      <c r="H19" s="27">
        <v>2787.45974881861</v>
      </c>
      <c r="I19" s="27">
        <v>2837.86032964109</v>
      </c>
      <c r="J19" s="28">
        <v>2889.975889048</v>
      </c>
    </row>
    <row r="20" spans="1:10">
      <c r="A20" s="26"/>
      <c r="B20" s="27" t="s">
        <v>67</v>
      </c>
      <c r="C20" s="27">
        <v>2363.6563057661</v>
      </c>
      <c r="D20" s="27">
        <v>2410.51449441215</v>
      </c>
      <c r="E20" s="27">
        <v>2458.30162088538</v>
      </c>
      <c r="F20" s="27">
        <v>2507.03611096674</v>
      </c>
      <c r="G20" s="27">
        <v>2556.73671491664</v>
      </c>
      <c r="H20" s="27">
        <v>2607.42262336056</v>
      </c>
      <c r="I20" s="27">
        <v>2654.56791923583</v>
      </c>
      <c r="J20" s="28">
        <v>2703.31742625318</v>
      </c>
    </row>
    <row r="21" spans="1:10">
      <c r="A21" s="26"/>
      <c r="B21" s="27" t="s">
        <v>69</v>
      </c>
      <c r="C21" s="27">
        <v>2218.4394184761</v>
      </c>
      <c r="D21" s="27">
        <v>2262.41875804918</v>
      </c>
      <c r="E21" s="27">
        <v>2307.26996439271</v>
      </c>
      <c r="F21" s="27">
        <v>2353.01033123092</v>
      </c>
      <c r="G21" s="27">
        <v>2399.6574568325</v>
      </c>
      <c r="H21" s="27">
        <v>2447.22935277651</v>
      </c>
      <c r="I21" s="27">
        <v>2491.47816268707</v>
      </c>
      <c r="J21" s="28">
        <v>2537.2326254515</v>
      </c>
    </row>
    <row r="22" ht="14.6" spans="1:10">
      <c r="A22" s="29"/>
      <c r="B22" s="5" t="s">
        <v>71</v>
      </c>
      <c r="C22" s="5">
        <v>2431.34715371823</v>
      </c>
      <c r="D22" s="5">
        <v>2479.54727635398</v>
      </c>
      <c r="E22" s="5">
        <v>2528.70293991412</v>
      </c>
      <c r="F22" s="5">
        <v>2578.83309785947</v>
      </c>
      <c r="G22" s="5">
        <v>2629.95703742313</v>
      </c>
      <c r="H22" s="5">
        <v>2682.09449881472</v>
      </c>
      <c r="I22" s="5">
        <v>2730.58995087524</v>
      </c>
      <c r="J22" s="6">
        <v>2780.73555578163</v>
      </c>
    </row>
    <row r="23" spans="1:10">
      <c r="A23" s="23" t="s">
        <v>336</v>
      </c>
      <c r="B23" s="24" t="s">
        <v>22</v>
      </c>
      <c r="C23" s="24">
        <v>3367.45996754914</v>
      </c>
      <c r="D23" s="24">
        <v>3434.21771480169</v>
      </c>
      <c r="E23" s="24">
        <v>3502.29895680631</v>
      </c>
      <c r="F23" s="24">
        <v>3571.72993738711</v>
      </c>
      <c r="G23" s="24">
        <v>3642.5373632879</v>
      </c>
      <c r="H23" s="24">
        <v>3714.74856923549</v>
      </c>
      <c r="I23" s="24">
        <v>3781.91556214398</v>
      </c>
      <c r="J23" s="25">
        <v>3851.36806603852</v>
      </c>
    </row>
    <row r="24" spans="1:10">
      <c r="A24" s="26"/>
      <c r="B24" s="27" t="s">
        <v>27</v>
      </c>
      <c r="C24" s="27">
        <v>3260.37848071056</v>
      </c>
      <c r="D24" s="27">
        <v>3325.01345560493</v>
      </c>
      <c r="E24" s="27">
        <v>3390.92982412695</v>
      </c>
      <c r="F24" s="27">
        <v>3458.15299759417</v>
      </c>
      <c r="G24" s="27">
        <v>3526.70883534074</v>
      </c>
      <c r="H24" s="27">
        <v>3596.62380452983</v>
      </c>
      <c r="I24" s="27">
        <v>3661.65495365718</v>
      </c>
      <c r="J24" s="28">
        <v>3728.89893070518</v>
      </c>
    </row>
    <row r="25" spans="1:10">
      <c r="A25" s="26"/>
      <c r="B25" s="27" t="s">
        <v>41</v>
      </c>
      <c r="C25" s="27">
        <v>3218.56328999628</v>
      </c>
      <c r="D25" s="27">
        <v>3282.36734631659</v>
      </c>
      <c r="E25" s="27">
        <v>3347.43671870698</v>
      </c>
      <c r="F25" s="27">
        <v>3413.79645165677</v>
      </c>
      <c r="G25" s="27">
        <v>3481.47203436561</v>
      </c>
      <c r="H25" s="27">
        <v>3550.48955864338</v>
      </c>
      <c r="I25" s="27">
        <v>3614.68614846652</v>
      </c>
      <c r="J25" s="28">
        <v>3681.06733151792</v>
      </c>
    </row>
    <row r="26" spans="1:10">
      <c r="A26" s="26"/>
      <c r="B26" s="27" t="s">
        <v>53</v>
      </c>
      <c r="C26" s="27">
        <v>0</v>
      </c>
      <c r="D26" s="27">
        <v>0</v>
      </c>
      <c r="E26" s="27">
        <v>0</v>
      </c>
      <c r="F26" s="27">
        <v>0</v>
      </c>
      <c r="G26" s="27">
        <v>0</v>
      </c>
      <c r="H26" s="27">
        <v>0</v>
      </c>
      <c r="I26" s="27">
        <v>0</v>
      </c>
      <c r="J26" s="28">
        <v>0</v>
      </c>
    </row>
    <row r="27" ht="14.6" spans="1:10">
      <c r="A27" s="29"/>
      <c r="B27" s="5" t="s">
        <v>62</v>
      </c>
      <c r="C27" s="5">
        <v>3773.33465015232</v>
      </c>
      <c r="D27" s="5">
        <v>3848.12545490728</v>
      </c>
      <c r="E27" s="5">
        <v>3924.40164020621</v>
      </c>
      <c r="F27" s="5">
        <v>4002.19244812123</v>
      </c>
      <c r="G27" s="5">
        <v>4081.52762011377</v>
      </c>
      <c r="H27" s="5">
        <v>4162.43758744621</v>
      </c>
      <c r="I27" s="5">
        <v>4237.69719789611</v>
      </c>
      <c r="J27" s="6">
        <v>4315.51895512773</v>
      </c>
    </row>
  </sheetData>
  <mergeCells count="4">
    <mergeCell ref="A2:A9"/>
    <mergeCell ref="A10:A14"/>
    <mergeCell ref="A15:A22"/>
    <mergeCell ref="A23:A27"/>
  </mergeCells>
  <pageMargins left="0.7" right="0.7" top="0.75" bottom="0.75" header="0.3" footer="0.3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0"/>
  <sheetViews>
    <sheetView zoomScale="205" zoomScaleNormal="205" workbookViewId="0">
      <selection activeCell="I21" sqref="I21"/>
    </sheetView>
  </sheetViews>
  <sheetFormatPr defaultColWidth="9" defaultRowHeight="13.85"/>
  <cols>
    <col min="1" max="1" width="7.10619469026549" customWidth="1"/>
    <col min="2" max="13" width="9.7787610619469" customWidth="1"/>
  </cols>
  <sheetData>
    <row r="1" ht="16.1" spans="1:13">
      <c r="A1" s="7"/>
      <c r="B1" s="8" t="s">
        <v>341</v>
      </c>
      <c r="C1" s="9"/>
      <c r="D1" s="9"/>
      <c r="E1" s="9"/>
      <c r="F1" s="9"/>
      <c r="G1" s="10"/>
      <c r="H1" s="8" t="s">
        <v>328</v>
      </c>
      <c r="I1" s="9"/>
      <c r="J1" s="9"/>
      <c r="K1" s="9"/>
      <c r="L1" s="9"/>
      <c r="M1" s="10"/>
    </row>
    <row r="2" ht="14.6" spans="1:13">
      <c r="A2" s="11" t="s">
        <v>19</v>
      </c>
      <c r="B2" s="12">
        <v>1</v>
      </c>
      <c r="C2" s="13">
        <v>2</v>
      </c>
      <c r="D2" s="13">
        <v>3</v>
      </c>
      <c r="E2" s="13">
        <v>4</v>
      </c>
      <c r="F2" s="13">
        <v>5</v>
      </c>
      <c r="G2" s="14">
        <v>6</v>
      </c>
      <c r="H2" s="12">
        <v>1</v>
      </c>
      <c r="I2" s="13">
        <v>2</v>
      </c>
      <c r="J2" s="13">
        <v>3</v>
      </c>
      <c r="K2" s="13">
        <v>4</v>
      </c>
      <c r="L2" s="13">
        <v>5</v>
      </c>
      <c r="M2" s="14">
        <v>6</v>
      </c>
    </row>
    <row r="3" spans="1:13">
      <c r="A3" s="15" t="s">
        <v>22</v>
      </c>
      <c r="B3" s="16">
        <v>0</v>
      </c>
      <c r="C3" s="17">
        <v>0</v>
      </c>
      <c r="D3" s="17">
        <v>0.401065956029314</v>
      </c>
      <c r="E3" s="17">
        <v>0.217188540972685</v>
      </c>
      <c r="F3" s="17">
        <v>0.137908061292472</v>
      </c>
      <c r="G3" s="18">
        <v>0.24383744170553</v>
      </c>
      <c r="H3" s="16">
        <v>0</v>
      </c>
      <c r="I3" s="17">
        <v>0</v>
      </c>
      <c r="J3" s="17">
        <v>0</v>
      </c>
      <c r="K3" s="17">
        <v>0.730769230769231</v>
      </c>
      <c r="L3" s="17">
        <v>0.269230769230769</v>
      </c>
      <c r="M3" s="18">
        <v>0</v>
      </c>
    </row>
    <row r="4" spans="1:13">
      <c r="A4" s="15" t="s">
        <v>27</v>
      </c>
      <c r="B4" s="16">
        <v>0.0464921382392849</v>
      </c>
      <c r="C4" s="17">
        <v>0.110144464841568</v>
      </c>
      <c r="D4" s="17">
        <v>0.203793864900098</v>
      </c>
      <c r="E4" s="17">
        <v>0.287093942054434</v>
      </c>
      <c r="F4" s="17">
        <v>0.287293479128422</v>
      </c>
      <c r="G4" s="18">
        <v>0.0651821108361934</v>
      </c>
      <c r="H4" s="16">
        <v>0</v>
      </c>
      <c r="I4" s="17">
        <v>0.0609643450951413</v>
      </c>
      <c r="J4" s="17">
        <v>0.402364677627933</v>
      </c>
      <c r="K4" s="17">
        <v>0.439682246443747</v>
      </c>
      <c r="L4" s="17">
        <v>0.0969887308331794</v>
      </c>
      <c r="M4" s="18">
        <v>0</v>
      </c>
    </row>
    <row r="5" spans="1:13">
      <c r="A5" s="15" t="s">
        <v>41</v>
      </c>
      <c r="B5" s="16">
        <v>0.0450265310175072</v>
      </c>
      <c r="C5" s="17">
        <v>0.0439874572247955</v>
      </c>
      <c r="D5" s="17">
        <v>0.209939087185218</v>
      </c>
      <c r="E5" s="17">
        <v>0.359057721703712</v>
      </c>
      <c r="F5" s="17">
        <v>0.26567962353202</v>
      </c>
      <c r="G5" s="18">
        <v>0.0763095793367476</v>
      </c>
      <c r="H5" s="16">
        <v>0</v>
      </c>
      <c r="I5" s="17">
        <v>0.0609643450951413</v>
      </c>
      <c r="J5" s="17">
        <v>0.402364677627933</v>
      </c>
      <c r="K5" s="17">
        <v>0.439682246443747</v>
      </c>
      <c r="L5" s="17">
        <v>0.0969887308331794</v>
      </c>
      <c r="M5" s="18">
        <v>0</v>
      </c>
    </row>
    <row r="6" spans="1:13">
      <c r="A6" s="15" t="s">
        <v>53</v>
      </c>
      <c r="B6" s="16">
        <v>0.316458777763835</v>
      </c>
      <c r="C6" s="17">
        <v>0.0833404442213578</v>
      </c>
      <c r="D6" s="17">
        <v>0.0835738486635713</v>
      </c>
      <c r="E6" s="17">
        <v>0.348475341950056</v>
      </c>
      <c r="F6" s="17">
        <v>0.0973773371815786</v>
      </c>
      <c r="G6" s="18">
        <v>0.070774250219601</v>
      </c>
      <c r="H6" s="16">
        <v>0.171350239890336</v>
      </c>
      <c r="I6" s="17">
        <v>0.205277587388622</v>
      </c>
      <c r="J6" s="17">
        <v>0.476010966415353</v>
      </c>
      <c r="K6" s="17">
        <v>0.147361206305689</v>
      </c>
      <c r="L6" s="17">
        <v>0</v>
      </c>
      <c r="M6" s="18">
        <v>0</v>
      </c>
    </row>
    <row r="7" spans="1:13">
      <c r="A7" s="15" t="s">
        <v>62</v>
      </c>
      <c r="B7" s="16">
        <v>0.084061093555492</v>
      </c>
      <c r="C7" s="17">
        <v>0.0543091065785693</v>
      </c>
      <c r="D7" s="17">
        <v>0.0823518146126592</v>
      </c>
      <c r="E7" s="17">
        <v>0.356219477161735</v>
      </c>
      <c r="F7" s="17">
        <v>0.265728239011778</v>
      </c>
      <c r="G7" s="18">
        <v>0.157330269079766</v>
      </c>
      <c r="H7" s="16">
        <v>0.10752688172043</v>
      </c>
      <c r="I7" s="17">
        <v>0.594982078853047</v>
      </c>
      <c r="J7" s="17">
        <v>0.17921146953405</v>
      </c>
      <c r="K7" s="17">
        <v>0.118279569892473</v>
      </c>
      <c r="L7" s="17">
        <v>0</v>
      </c>
      <c r="M7" s="18">
        <v>0</v>
      </c>
    </row>
    <row r="8" spans="1:13">
      <c r="A8" s="15" t="s">
        <v>67</v>
      </c>
      <c r="B8" s="16">
        <v>0</v>
      </c>
      <c r="C8" s="17">
        <v>0</v>
      </c>
      <c r="D8" s="17">
        <v>0</v>
      </c>
      <c r="E8" s="17">
        <v>0</v>
      </c>
      <c r="F8" s="17">
        <v>0</v>
      </c>
      <c r="G8" s="18">
        <v>0</v>
      </c>
      <c r="H8" s="16">
        <v>0</v>
      </c>
      <c r="I8" s="17">
        <v>0</v>
      </c>
      <c r="J8" s="17">
        <v>0</v>
      </c>
      <c r="K8" s="17">
        <v>0</v>
      </c>
      <c r="L8" s="17">
        <v>0</v>
      </c>
      <c r="M8" s="18">
        <v>0</v>
      </c>
    </row>
    <row r="9" spans="1:13">
      <c r="A9" s="15" t="s">
        <v>69</v>
      </c>
      <c r="B9" s="16">
        <v>0</v>
      </c>
      <c r="C9" s="17">
        <v>0</v>
      </c>
      <c r="D9" s="17">
        <v>0</v>
      </c>
      <c r="E9" s="17">
        <v>0</v>
      </c>
      <c r="F9" s="17">
        <v>0</v>
      </c>
      <c r="G9" s="18">
        <v>0</v>
      </c>
      <c r="H9" s="16">
        <v>0</v>
      </c>
      <c r="I9" s="17">
        <v>0</v>
      </c>
      <c r="J9" s="17">
        <v>0</v>
      </c>
      <c r="K9" s="17">
        <v>0</v>
      </c>
      <c r="L9" s="17">
        <v>0</v>
      </c>
      <c r="M9" s="18">
        <v>0</v>
      </c>
    </row>
    <row r="10" ht="14.6" spans="1:13">
      <c r="A10" s="19" t="s">
        <v>71</v>
      </c>
      <c r="B10" s="20">
        <v>0</v>
      </c>
      <c r="C10" s="21">
        <v>0</v>
      </c>
      <c r="D10" s="21">
        <v>0</v>
      </c>
      <c r="E10" s="21">
        <v>0</v>
      </c>
      <c r="F10" s="21">
        <v>0</v>
      </c>
      <c r="G10" s="22">
        <v>0</v>
      </c>
      <c r="H10" s="20">
        <v>0</v>
      </c>
      <c r="I10" s="21">
        <v>0</v>
      </c>
      <c r="J10" s="21">
        <v>0</v>
      </c>
      <c r="K10" s="21">
        <v>0</v>
      </c>
      <c r="L10" s="21">
        <v>0</v>
      </c>
      <c r="M10" s="22">
        <v>0</v>
      </c>
    </row>
  </sheetData>
  <mergeCells count="2">
    <mergeCell ref="B1:G1"/>
    <mergeCell ref="H1:M1"/>
  </mergeCells>
  <pageMargins left="0.7" right="0.7" top="0.75" bottom="0.75" header="0.3" footer="0.3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"/>
  <sheetViews>
    <sheetView zoomScale="220" zoomScaleNormal="220" workbookViewId="0">
      <selection activeCell="B5" sqref="B5:I6"/>
    </sheetView>
  </sheetViews>
  <sheetFormatPr defaultColWidth="9" defaultRowHeight="13.85" outlineLevelRow="1"/>
  <cols>
    <col min="1" max="1" width="21.3362831858407" customWidth="1"/>
    <col min="2" max="9" width="7.44247787610619" customWidth="1"/>
  </cols>
  <sheetData>
    <row r="1" ht="14.65" spans="1:9">
      <c r="A1" s="1"/>
      <c r="B1" s="2" t="s">
        <v>319</v>
      </c>
      <c r="C1" s="2" t="s">
        <v>353</v>
      </c>
      <c r="D1" s="2" t="s">
        <v>354</v>
      </c>
      <c r="E1" s="2" t="s">
        <v>322</v>
      </c>
      <c r="F1" s="2" t="s">
        <v>323</v>
      </c>
      <c r="G1" s="2" t="s">
        <v>355</v>
      </c>
      <c r="H1" s="2" t="s">
        <v>356</v>
      </c>
      <c r="I1" s="3" t="s">
        <v>326</v>
      </c>
    </row>
    <row r="2" ht="16.5" spans="1:9">
      <c r="A2" s="4" t="s">
        <v>357</v>
      </c>
      <c r="B2" s="5">
        <v>12.5074136551763</v>
      </c>
      <c r="C2" s="5">
        <v>12.5630407529706</v>
      </c>
      <c r="D2" s="5">
        <v>10.596116903351</v>
      </c>
      <c r="E2" s="5">
        <v>7.4505225110409</v>
      </c>
      <c r="F2" s="5">
        <v>4.45660599676834</v>
      </c>
      <c r="G2" s="5">
        <v>2.57632396728469</v>
      </c>
      <c r="H2" s="5">
        <v>1.07354662504572</v>
      </c>
      <c r="I2" s="6">
        <v>0.358754786457124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16</vt:i4>
      </vt:variant>
    </vt:vector>
  </HeadingPairs>
  <TitlesOfParts>
    <vt:vector size="16" baseType="lpstr">
      <vt:lpstr>Profile</vt:lpstr>
      <vt:lpstr>Bus</vt:lpstr>
      <vt:lpstr>Lines</vt:lpstr>
      <vt:lpstr>Generation Units</vt:lpstr>
      <vt:lpstr>Storage Units</vt:lpstr>
      <vt:lpstr>Load_YearMax</vt:lpstr>
      <vt:lpstr>Load_YearSum</vt:lpstr>
      <vt:lpstr>Existing Units-Overview</vt:lpstr>
      <vt:lpstr>Candidate Units-Overview</vt:lpstr>
      <vt:lpstr>Units-Investment Costs</vt:lpstr>
      <vt:lpstr>Units-Variable Costs</vt:lpstr>
      <vt:lpstr>Generation-Parameters</vt:lpstr>
      <vt:lpstr>Storage-Parameters</vt:lpstr>
      <vt:lpstr>VRE Utilization hour</vt:lpstr>
      <vt:lpstr>Coal Units-Age</vt:lpstr>
      <vt:lpstr>Carbon trajectory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roedeer</dc:creator>
  <cp:lastModifiedBy>曾凡焜(2023012792)</cp:lastModifiedBy>
  <dcterms:created xsi:type="dcterms:W3CDTF">2015-06-05T18:19:00Z</dcterms:created>
  <dcterms:modified xsi:type="dcterms:W3CDTF">2025-11-18T13:35:56Z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76FCF7CE2FF547F7B3990E86F5F817DE_12</vt:lpwstr>
  </property>
  <property fmtid="{D5CDD505-2E9C-101B-9397-08002B2CF9AE}" pid="3" name="KSOProductBuildVer">
    <vt:lpwstr>2052-12.1.0.23542</vt:lpwstr>
  </property>
</Properties>
</file>